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IT Dropbox\Wande Cairang\MIT research\Metal RAC\Westinghouse_RAC experiment\RAC for preradiation\SRIM\Helium\"/>
    </mc:Choice>
  </mc:AlternateContent>
  <xr:revisionPtr revIDLastSave="0" documentId="13_ncr:1_{AEE5AE24-E060-48D6-8071-0EDE99776A86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Range" sheetId="1" r:id="rId1"/>
    <sheet name="dam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7" i="2" l="1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N6" i="2"/>
  <c r="AM6" i="2"/>
  <c r="AL6" i="2"/>
  <c r="AK6" i="2"/>
  <c r="AJ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6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6" i="2"/>
  <c r="AI1" i="2"/>
  <c r="AN19" i="1"/>
  <c r="AN23" i="1"/>
  <c r="AN24" i="1"/>
  <c r="AN25" i="1"/>
  <c r="AN45" i="1"/>
  <c r="AN46" i="1"/>
  <c r="AN47" i="1"/>
  <c r="AN48" i="1"/>
  <c r="AN49" i="1"/>
  <c r="AN50" i="1"/>
  <c r="AN51" i="1"/>
  <c r="AN55" i="1"/>
  <c r="AN56" i="1"/>
  <c r="AN57" i="1"/>
  <c r="AN62" i="1"/>
  <c r="AN63" i="1"/>
  <c r="AN88" i="1"/>
  <c r="AN89" i="1"/>
  <c r="AN94" i="1"/>
  <c r="AN95" i="1"/>
  <c r="AM12" i="1"/>
  <c r="AM13" i="1"/>
  <c r="AM14" i="1"/>
  <c r="AM15" i="1"/>
  <c r="AM16" i="1"/>
  <c r="AM20" i="1"/>
  <c r="AM21" i="1"/>
  <c r="AM22" i="1"/>
  <c r="AM27" i="1"/>
  <c r="AM28" i="1"/>
  <c r="AM29" i="1"/>
  <c r="AM30" i="1"/>
  <c r="AM59" i="1"/>
  <c r="AM60" i="1"/>
  <c r="AM61" i="1"/>
  <c r="AM62" i="1"/>
  <c r="AM77" i="1"/>
  <c r="AM78" i="1"/>
  <c r="AM79" i="1"/>
  <c r="AM80" i="1"/>
  <c r="AM84" i="1"/>
  <c r="AM85" i="1"/>
  <c r="AM86" i="1"/>
  <c r="AM91" i="1"/>
  <c r="AM92" i="1"/>
  <c r="AM93" i="1"/>
  <c r="AM94" i="1"/>
  <c r="AL6" i="1"/>
  <c r="AL25" i="1"/>
  <c r="AL26" i="1"/>
  <c r="AL27" i="1"/>
  <c r="AL37" i="1"/>
  <c r="AL43" i="1"/>
  <c r="AL44" i="1"/>
  <c r="AL45" i="1"/>
  <c r="AL49" i="1"/>
  <c r="AL50" i="1"/>
  <c r="AL51" i="1"/>
  <c r="AL56" i="1"/>
  <c r="AL57" i="1"/>
  <c r="AL58" i="1"/>
  <c r="AL59" i="1"/>
  <c r="AL69" i="1"/>
  <c r="AL70" i="1"/>
  <c r="AL89" i="1"/>
  <c r="AL90" i="1"/>
  <c r="AL91" i="1"/>
  <c r="AL101" i="1"/>
  <c r="AL5" i="1"/>
  <c r="AK6" i="1"/>
  <c r="AK7" i="1"/>
  <c r="AK11" i="1"/>
  <c r="AK12" i="1"/>
  <c r="AK13" i="1"/>
  <c r="AK18" i="1"/>
  <c r="AK19" i="1"/>
  <c r="AK20" i="1"/>
  <c r="AK21" i="1"/>
  <c r="AK31" i="1"/>
  <c r="AK32" i="1"/>
  <c r="AK51" i="1"/>
  <c r="AK52" i="1"/>
  <c r="AK53" i="1"/>
  <c r="AK63" i="1"/>
  <c r="AK69" i="1"/>
  <c r="AK70" i="1"/>
  <c r="AK71" i="1"/>
  <c r="AK75" i="1"/>
  <c r="AK76" i="1"/>
  <c r="AK77" i="1"/>
  <c r="AK82" i="1"/>
  <c r="AK83" i="1"/>
  <c r="AK84" i="1"/>
  <c r="AK85" i="1"/>
  <c r="AK95" i="1"/>
  <c r="AK96" i="1"/>
  <c r="AJ15" i="1"/>
  <c r="AJ16" i="1"/>
  <c r="AJ17" i="1"/>
  <c r="AJ27" i="1"/>
  <c r="AJ33" i="1"/>
  <c r="AJ34" i="1"/>
  <c r="AJ35" i="1"/>
  <c r="AJ39" i="1"/>
  <c r="AJ40" i="1"/>
  <c r="AJ41" i="1"/>
  <c r="AJ46" i="1"/>
  <c r="AJ47" i="1"/>
  <c r="AJ48" i="1"/>
  <c r="AJ49" i="1"/>
  <c r="AJ59" i="1"/>
  <c r="AJ60" i="1"/>
  <c r="AJ79" i="1"/>
  <c r="AJ80" i="1"/>
  <c r="AJ81" i="1"/>
  <c r="AJ91" i="1"/>
  <c r="AJ97" i="1"/>
  <c r="AJ98" i="1"/>
  <c r="AJ99" i="1"/>
  <c r="AJ103" i="1"/>
  <c r="AJ104" i="1"/>
  <c r="AJ5" i="1"/>
  <c r="AI10" i="1"/>
  <c r="AI11" i="1"/>
  <c r="AI12" i="1"/>
  <c r="AI13" i="1"/>
  <c r="AI23" i="1"/>
  <c r="AI24" i="1"/>
  <c r="AI43" i="1"/>
  <c r="AI44" i="1"/>
  <c r="AI45" i="1"/>
  <c r="AI55" i="1"/>
  <c r="AI61" i="1"/>
  <c r="AI62" i="1"/>
  <c r="AI63" i="1"/>
  <c r="AI67" i="1"/>
  <c r="AI68" i="1"/>
  <c r="AI69" i="1"/>
  <c r="AI74" i="1"/>
  <c r="AI75" i="1"/>
  <c r="AI76" i="1"/>
  <c r="AI77" i="1"/>
  <c r="AI87" i="1"/>
  <c r="AI88" i="1"/>
  <c r="AI1" i="1"/>
  <c r="AN77" i="1" s="1"/>
  <c r="AH6" i="1"/>
  <c r="AH7" i="1"/>
  <c r="AH8" i="1"/>
  <c r="AH18" i="1"/>
  <c r="AH20" i="1"/>
  <c r="AH21" i="1"/>
  <c r="AH23" i="1"/>
  <c r="AH24" i="1"/>
  <c r="AH25" i="1"/>
  <c r="AH26" i="1"/>
  <c r="AH29" i="1"/>
  <c r="AH30" i="1"/>
  <c r="AH31" i="1"/>
  <c r="AH32" i="1"/>
  <c r="AH37" i="1"/>
  <c r="AH38" i="1"/>
  <c r="AH39" i="1"/>
  <c r="AH40" i="1"/>
  <c r="AH50" i="1"/>
  <c r="AH55" i="1"/>
  <c r="AH56" i="1"/>
  <c r="AH57" i="1"/>
  <c r="AH61" i="1"/>
  <c r="AH62" i="1"/>
  <c r="AH63" i="1"/>
  <c r="AH64" i="1"/>
  <c r="AH69" i="1"/>
  <c r="AH70" i="1"/>
  <c r="AH71" i="1"/>
  <c r="AH72" i="1"/>
  <c r="AH84" i="1"/>
  <c r="AH85" i="1"/>
  <c r="AH86" i="1"/>
  <c r="AH87" i="1"/>
  <c r="AH88" i="1"/>
  <c r="AH89" i="1"/>
  <c r="AH90" i="1"/>
  <c r="AH93" i="1"/>
  <c r="AH94" i="1"/>
  <c r="AH95" i="1"/>
  <c r="AH96" i="1"/>
  <c r="AH101" i="1"/>
  <c r="AH102" i="1"/>
  <c r="AH103" i="1"/>
  <c r="AH104" i="1"/>
  <c r="D6" i="1"/>
  <c r="D7" i="1"/>
  <c r="D8" i="1"/>
  <c r="D9" i="1"/>
  <c r="AH9" i="1" s="1"/>
  <c r="D10" i="1"/>
  <c r="AH10" i="1" s="1"/>
  <c r="D11" i="1"/>
  <c r="AH11" i="1" s="1"/>
  <c r="D12" i="1"/>
  <c r="AH12" i="1" s="1"/>
  <c r="D13" i="1"/>
  <c r="AH13" i="1" s="1"/>
  <c r="D14" i="1"/>
  <c r="AH14" i="1" s="1"/>
  <c r="D15" i="1"/>
  <c r="AH15" i="1" s="1"/>
  <c r="D16" i="1"/>
  <c r="AH16" i="1" s="1"/>
  <c r="D17" i="1"/>
  <c r="AH17" i="1" s="1"/>
  <c r="D18" i="1"/>
  <c r="D19" i="1"/>
  <c r="AH19" i="1" s="1"/>
  <c r="D20" i="1"/>
  <c r="D21" i="1"/>
  <c r="D22" i="1"/>
  <c r="AH22" i="1" s="1"/>
  <c r="D23" i="1"/>
  <c r="D24" i="1"/>
  <c r="D25" i="1"/>
  <c r="D26" i="1"/>
  <c r="D27" i="1"/>
  <c r="AH27" i="1" s="1"/>
  <c r="D28" i="1"/>
  <c r="AH28" i="1" s="1"/>
  <c r="D29" i="1"/>
  <c r="D30" i="1"/>
  <c r="D31" i="1"/>
  <c r="D32" i="1"/>
  <c r="D33" i="1"/>
  <c r="AH33" i="1" s="1"/>
  <c r="D34" i="1"/>
  <c r="AH34" i="1" s="1"/>
  <c r="D35" i="1"/>
  <c r="AH35" i="1" s="1"/>
  <c r="D36" i="1"/>
  <c r="AH36" i="1" s="1"/>
  <c r="D37" i="1"/>
  <c r="D38" i="1"/>
  <c r="D39" i="1"/>
  <c r="D40" i="1"/>
  <c r="D41" i="1"/>
  <c r="AH41" i="1" s="1"/>
  <c r="D42" i="1"/>
  <c r="AH42" i="1" s="1"/>
  <c r="D43" i="1"/>
  <c r="AH43" i="1" s="1"/>
  <c r="D44" i="1"/>
  <c r="AH44" i="1" s="1"/>
  <c r="D45" i="1"/>
  <c r="AH45" i="1" s="1"/>
  <c r="D46" i="1"/>
  <c r="AH46" i="1" s="1"/>
  <c r="D47" i="1"/>
  <c r="AH47" i="1" s="1"/>
  <c r="D48" i="1"/>
  <c r="AH48" i="1" s="1"/>
  <c r="D49" i="1"/>
  <c r="AH49" i="1" s="1"/>
  <c r="D50" i="1"/>
  <c r="D51" i="1"/>
  <c r="AH51" i="1" s="1"/>
  <c r="D52" i="1"/>
  <c r="AH52" i="1" s="1"/>
  <c r="D53" i="1"/>
  <c r="AH53" i="1" s="1"/>
  <c r="D54" i="1"/>
  <c r="AH54" i="1" s="1"/>
  <c r="D55" i="1"/>
  <c r="D56" i="1"/>
  <c r="D57" i="1"/>
  <c r="D58" i="1"/>
  <c r="AH58" i="1" s="1"/>
  <c r="D59" i="1"/>
  <c r="AH59" i="1" s="1"/>
  <c r="D60" i="1"/>
  <c r="AH60" i="1" s="1"/>
  <c r="D61" i="1"/>
  <c r="D62" i="1"/>
  <c r="D63" i="1"/>
  <c r="D64" i="1"/>
  <c r="D65" i="1"/>
  <c r="AH65" i="1" s="1"/>
  <c r="D66" i="1"/>
  <c r="AH66" i="1" s="1"/>
  <c r="D67" i="1"/>
  <c r="AH67" i="1" s="1"/>
  <c r="D68" i="1"/>
  <c r="AH68" i="1" s="1"/>
  <c r="D69" i="1"/>
  <c r="D70" i="1"/>
  <c r="D71" i="1"/>
  <c r="D72" i="1"/>
  <c r="D73" i="1"/>
  <c r="AH73" i="1" s="1"/>
  <c r="D74" i="1"/>
  <c r="AH74" i="1" s="1"/>
  <c r="D75" i="1"/>
  <c r="AH75" i="1" s="1"/>
  <c r="D76" i="1"/>
  <c r="AH76" i="1" s="1"/>
  <c r="D77" i="1"/>
  <c r="AH77" i="1" s="1"/>
  <c r="D78" i="1"/>
  <c r="AH78" i="1" s="1"/>
  <c r="D79" i="1"/>
  <c r="AH79" i="1" s="1"/>
  <c r="D80" i="1"/>
  <c r="AH80" i="1" s="1"/>
  <c r="D81" i="1"/>
  <c r="AH81" i="1" s="1"/>
  <c r="D82" i="1"/>
  <c r="AH82" i="1" s="1"/>
  <c r="D83" i="1"/>
  <c r="AH83" i="1" s="1"/>
  <c r="D84" i="1"/>
  <c r="D85" i="1"/>
  <c r="D86" i="1"/>
  <c r="D87" i="1"/>
  <c r="D88" i="1"/>
  <c r="D89" i="1"/>
  <c r="D90" i="1"/>
  <c r="D91" i="1"/>
  <c r="AH91" i="1" s="1"/>
  <c r="D92" i="1"/>
  <c r="AH92" i="1" s="1"/>
  <c r="D93" i="1"/>
  <c r="D94" i="1"/>
  <c r="D95" i="1"/>
  <c r="D96" i="1"/>
  <c r="D97" i="1"/>
  <c r="AH97" i="1" s="1"/>
  <c r="D98" i="1"/>
  <c r="AH98" i="1" s="1"/>
  <c r="D99" i="1"/>
  <c r="AH99" i="1" s="1"/>
  <c r="D100" i="1"/>
  <c r="AH100" i="1" s="1"/>
  <c r="D101" i="1"/>
  <c r="D102" i="1"/>
  <c r="D103" i="1"/>
  <c r="D104" i="1"/>
  <c r="D5" i="1"/>
  <c r="AH5" i="1" s="1"/>
  <c r="AI60" i="1" l="1"/>
  <c r="AM5" i="1"/>
  <c r="AI59" i="1"/>
  <c r="AJ95" i="1"/>
  <c r="AJ31" i="1"/>
  <c r="AK67" i="1"/>
  <c r="AN5" i="1"/>
  <c r="AL41" i="1"/>
  <c r="AM75" i="1"/>
  <c r="AM10" i="1"/>
  <c r="AN33" i="1"/>
  <c r="AJ94" i="1"/>
  <c r="AK66" i="1"/>
  <c r="AL40" i="1"/>
  <c r="AI57" i="1"/>
  <c r="AJ93" i="1"/>
  <c r="AJ29" i="1"/>
  <c r="AK65" i="1"/>
  <c r="AL103" i="1"/>
  <c r="AL39" i="1"/>
  <c r="AM73" i="1"/>
  <c r="AN97" i="1"/>
  <c r="AN31" i="1"/>
  <c r="AJ96" i="1"/>
  <c r="AJ32" i="1"/>
  <c r="AK68" i="1"/>
  <c r="AL42" i="1"/>
  <c r="AM76" i="1"/>
  <c r="AM11" i="1"/>
  <c r="AN44" i="1"/>
  <c r="AI58" i="1"/>
  <c r="AJ30" i="1"/>
  <c r="AL104" i="1"/>
  <c r="AM74" i="1"/>
  <c r="AM9" i="1"/>
  <c r="AN32" i="1"/>
  <c r="AI56" i="1"/>
  <c r="AJ92" i="1"/>
  <c r="AJ28" i="1"/>
  <c r="AK64" i="1"/>
  <c r="AL102" i="1"/>
  <c r="AL38" i="1"/>
  <c r="AM72" i="1"/>
  <c r="AN96" i="1"/>
  <c r="AN30" i="1"/>
  <c r="AI42" i="1"/>
  <c r="AO42" i="1" s="1"/>
  <c r="AM54" i="1"/>
  <c r="AJ9" i="1"/>
  <c r="AM53" i="1"/>
  <c r="AI100" i="1"/>
  <c r="AN82" i="1"/>
  <c r="AK43" i="1"/>
  <c r="AL17" i="1"/>
  <c r="AN80" i="1"/>
  <c r="AI94" i="1"/>
  <c r="AI30" i="1"/>
  <c r="AJ66" i="1"/>
  <c r="AK102" i="1"/>
  <c r="AK38" i="1"/>
  <c r="AL76" i="1"/>
  <c r="AO76" i="1" s="1"/>
  <c r="AL12" i="1"/>
  <c r="AM46" i="1"/>
  <c r="AN79" i="1"/>
  <c r="AN13" i="1"/>
  <c r="AN18" i="1"/>
  <c r="AI37" i="1"/>
  <c r="AL83" i="1"/>
  <c r="AM52" i="1"/>
  <c r="AJ14" i="1"/>
  <c r="AN87" i="1"/>
  <c r="AN83" i="1"/>
  <c r="AK44" i="1"/>
  <c r="AL18" i="1"/>
  <c r="AJ7" i="1"/>
  <c r="AN81" i="1"/>
  <c r="AK103" i="1"/>
  <c r="AM47" i="1"/>
  <c r="AL11" i="1"/>
  <c r="AK100" i="1"/>
  <c r="AL74" i="1"/>
  <c r="AN34" i="1"/>
  <c r="AN66" i="1"/>
  <c r="AN98" i="1"/>
  <c r="AM31" i="1"/>
  <c r="AM63" i="1"/>
  <c r="AM95" i="1"/>
  <c r="AL28" i="1"/>
  <c r="AL60" i="1"/>
  <c r="AL92" i="1"/>
  <c r="AK22" i="1"/>
  <c r="AK54" i="1"/>
  <c r="AK86" i="1"/>
  <c r="AJ18" i="1"/>
  <c r="AJ50" i="1"/>
  <c r="AJ82" i="1"/>
  <c r="AI14" i="1"/>
  <c r="AI46" i="1"/>
  <c r="AI78" i="1"/>
  <c r="AM64" i="1"/>
  <c r="AL93" i="1"/>
  <c r="AK55" i="1"/>
  <c r="AJ19" i="1"/>
  <c r="AJ51" i="1"/>
  <c r="AI15" i="1"/>
  <c r="AI47" i="1"/>
  <c r="AI79" i="1"/>
  <c r="AO79" i="1" s="1"/>
  <c r="AN68" i="1"/>
  <c r="AM33" i="1"/>
  <c r="AM97" i="1"/>
  <c r="AL62" i="1"/>
  <c r="AK24" i="1"/>
  <c r="AK88" i="1"/>
  <c r="AJ52" i="1"/>
  <c r="AI48" i="1"/>
  <c r="AN37" i="1"/>
  <c r="AN101" i="1"/>
  <c r="AM66" i="1"/>
  <c r="AM98" i="1"/>
  <c r="AL63" i="1"/>
  <c r="AO63" i="1" s="1"/>
  <c r="AK25" i="1"/>
  <c r="AJ53" i="1"/>
  <c r="AI17" i="1"/>
  <c r="AI81" i="1"/>
  <c r="AN70" i="1"/>
  <c r="AM35" i="1"/>
  <c r="AM99" i="1"/>
  <c r="AL96" i="1"/>
  <c r="AK90" i="1"/>
  <c r="AJ86" i="1"/>
  <c r="AI82" i="1"/>
  <c r="AN104" i="1"/>
  <c r="AL34" i="1"/>
  <c r="AK92" i="1"/>
  <c r="AI20" i="1"/>
  <c r="AO20" i="1" s="1"/>
  <c r="AK29" i="1"/>
  <c r="AJ25" i="1"/>
  <c r="AI85" i="1"/>
  <c r="AN42" i="1"/>
  <c r="AM7" i="1"/>
  <c r="AL68" i="1"/>
  <c r="AK62" i="1"/>
  <c r="AO62" i="1" s="1"/>
  <c r="AI22" i="1"/>
  <c r="AN35" i="1"/>
  <c r="AN67" i="1"/>
  <c r="AN99" i="1"/>
  <c r="AM32" i="1"/>
  <c r="AM96" i="1"/>
  <c r="AL29" i="1"/>
  <c r="AL61" i="1"/>
  <c r="AK23" i="1"/>
  <c r="AK87" i="1"/>
  <c r="AJ83" i="1"/>
  <c r="AN36" i="1"/>
  <c r="AN100" i="1"/>
  <c r="AM65" i="1"/>
  <c r="AL30" i="1"/>
  <c r="AL94" i="1"/>
  <c r="AK56" i="1"/>
  <c r="AJ20" i="1"/>
  <c r="AJ84" i="1"/>
  <c r="AI16" i="1"/>
  <c r="AI80" i="1"/>
  <c r="AN69" i="1"/>
  <c r="AM34" i="1"/>
  <c r="AL31" i="1"/>
  <c r="AL95" i="1"/>
  <c r="AK57" i="1"/>
  <c r="AJ21" i="1"/>
  <c r="AJ85" i="1"/>
  <c r="AI49" i="1"/>
  <c r="AO49" i="1" s="1"/>
  <c r="AN38" i="1"/>
  <c r="AN102" i="1"/>
  <c r="AM67" i="1"/>
  <c r="AL32" i="1"/>
  <c r="AK26" i="1"/>
  <c r="AJ22" i="1"/>
  <c r="AI18" i="1"/>
  <c r="AM37" i="1"/>
  <c r="AL98" i="1"/>
  <c r="AJ24" i="1"/>
  <c r="AO24" i="1" s="1"/>
  <c r="AI52" i="1"/>
  <c r="AM102" i="1"/>
  <c r="AJ89" i="1"/>
  <c r="AM71" i="1"/>
  <c r="AK94" i="1"/>
  <c r="AI54" i="1"/>
  <c r="AN11" i="1"/>
  <c r="AM8" i="1"/>
  <c r="AK89" i="1"/>
  <c r="AN6" i="1"/>
  <c r="AL64" i="1"/>
  <c r="AK58" i="1"/>
  <c r="AJ54" i="1"/>
  <c r="AI50" i="1"/>
  <c r="AN8" i="1"/>
  <c r="AN72" i="1"/>
  <c r="AM69" i="1"/>
  <c r="AL66" i="1"/>
  <c r="AK60" i="1"/>
  <c r="AJ88" i="1"/>
  <c r="AO88" i="1" s="1"/>
  <c r="AL99" i="1"/>
  <c r="AI21" i="1"/>
  <c r="AO21" i="1" s="1"/>
  <c r="AL36" i="1"/>
  <c r="AJ58" i="1"/>
  <c r="AN43" i="1"/>
  <c r="AN75" i="1"/>
  <c r="AM104" i="1"/>
  <c r="AN7" i="1"/>
  <c r="AN39" i="1"/>
  <c r="AN71" i="1"/>
  <c r="AN103" i="1"/>
  <c r="AM36" i="1"/>
  <c r="AM68" i="1"/>
  <c r="AM100" i="1"/>
  <c r="AL33" i="1"/>
  <c r="AL65" i="1"/>
  <c r="AL97" i="1"/>
  <c r="AK27" i="1"/>
  <c r="AK59" i="1"/>
  <c r="AK91" i="1"/>
  <c r="AJ23" i="1"/>
  <c r="AO23" i="1" s="1"/>
  <c r="AJ55" i="1"/>
  <c r="AO55" i="1" s="1"/>
  <c r="AJ87" i="1"/>
  <c r="AO87" i="1" s="1"/>
  <c r="AI19" i="1"/>
  <c r="AI51" i="1"/>
  <c r="AI83" i="1"/>
  <c r="AN40" i="1"/>
  <c r="AM101" i="1"/>
  <c r="AK28" i="1"/>
  <c r="AJ56" i="1"/>
  <c r="AI84" i="1"/>
  <c r="AO84" i="1" s="1"/>
  <c r="AL35" i="1"/>
  <c r="AJ57" i="1"/>
  <c r="AM39" i="1"/>
  <c r="AL100" i="1"/>
  <c r="AJ26" i="1"/>
  <c r="AI86" i="1"/>
  <c r="AO86" i="1" s="1"/>
  <c r="AM40" i="1"/>
  <c r="AN9" i="1"/>
  <c r="AN41" i="1"/>
  <c r="AN73" i="1"/>
  <c r="AM6" i="1"/>
  <c r="AM38" i="1"/>
  <c r="AM70" i="1"/>
  <c r="AL67" i="1"/>
  <c r="AK61" i="1"/>
  <c r="AK93" i="1"/>
  <c r="AI53" i="1"/>
  <c r="AN10" i="1"/>
  <c r="AN74" i="1"/>
  <c r="AM103" i="1"/>
  <c r="AK30" i="1"/>
  <c r="AJ90" i="1"/>
  <c r="AN20" i="1"/>
  <c r="AN52" i="1"/>
  <c r="AN84" i="1"/>
  <c r="AM17" i="1"/>
  <c r="AM49" i="1"/>
  <c r="AM81" i="1"/>
  <c r="AL14" i="1"/>
  <c r="AL46" i="1"/>
  <c r="AL78" i="1"/>
  <c r="AK8" i="1"/>
  <c r="AK40" i="1"/>
  <c r="AK72" i="1"/>
  <c r="AK104" i="1"/>
  <c r="AJ36" i="1"/>
  <c r="AJ68" i="1"/>
  <c r="AO68" i="1" s="1"/>
  <c r="AJ100" i="1"/>
  <c r="AI32" i="1"/>
  <c r="AO32" i="1" s="1"/>
  <c r="AI64" i="1"/>
  <c r="AI96" i="1"/>
  <c r="AN21" i="1"/>
  <c r="AN53" i="1"/>
  <c r="AN85" i="1"/>
  <c r="AM18" i="1"/>
  <c r="AM50" i="1"/>
  <c r="AM82" i="1"/>
  <c r="AL15" i="1"/>
  <c r="AL47" i="1"/>
  <c r="AL79" i="1"/>
  <c r="AK9" i="1"/>
  <c r="AK41" i="1"/>
  <c r="AK73" i="1"/>
  <c r="AK5" i="1"/>
  <c r="AJ37" i="1"/>
  <c r="AJ69" i="1"/>
  <c r="AO69" i="1" s="1"/>
  <c r="AJ101" i="1"/>
  <c r="AI33" i="1"/>
  <c r="AI65" i="1"/>
  <c r="AI97" i="1"/>
  <c r="AN22" i="1"/>
  <c r="AN54" i="1"/>
  <c r="AN86" i="1"/>
  <c r="AM19" i="1"/>
  <c r="AM51" i="1"/>
  <c r="AM83" i="1"/>
  <c r="AL16" i="1"/>
  <c r="AL48" i="1"/>
  <c r="AL80" i="1"/>
  <c r="AK10" i="1"/>
  <c r="AK42" i="1"/>
  <c r="AK74" i="1"/>
  <c r="AJ6" i="1"/>
  <c r="AJ38" i="1"/>
  <c r="AJ70" i="1"/>
  <c r="AJ102" i="1"/>
  <c r="AI34" i="1"/>
  <c r="AI66" i="1"/>
  <c r="AI98" i="1"/>
  <c r="AO98" i="1" s="1"/>
  <c r="AN26" i="1"/>
  <c r="AN58" i="1"/>
  <c r="AN90" i="1"/>
  <c r="AM23" i="1"/>
  <c r="AM55" i="1"/>
  <c r="AM87" i="1"/>
  <c r="AL20" i="1"/>
  <c r="AL52" i="1"/>
  <c r="AL84" i="1"/>
  <c r="AK14" i="1"/>
  <c r="AK46" i="1"/>
  <c r="AK78" i="1"/>
  <c r="AJ10" i="1"/>
  <c r="AO10" i="1" s="1"/>
  <c r="AJ42" i="1"/>
  <c r="AJ74" i="1"/>
  <c r="AO74" i="1" s="1"/>
  <c r="AI6" i="1"/>
  <c r="AO6" i="1" s="1"/>
  <c r="AI38" i="1"/>
  <c r="AI70" i="1"/>
  <c r="AI102" i="1"/>
  <c r="AM26" i="1"/>
  <c r="AK81" i="1"/>
  <c r="AI9" i="1"/>
  <c r="AO9" i="1" s="1"/>
  <c r="AI73" i="1"/>
  <c r="AO73" i="1" s="1"/>
  <c r="AN27" i="1"/>
  <c r="AN59" i="1"/>
  <c r="AN91" i="1"/>
  <c r="AM24" i="1"/>
  <c r="AM56" i="1"/>
  <c r="AM88" i="1"/>
  <c r="AL21" i="1"/>
  <c r="AL53" i="1"/>
  <c r="AL85" i="1"/>
  <c r="AK15" i="1"/>
  <c r="AK47" i="1"/>
  <c r="AK79" i="1"/>
  <c r="AJ11" i="1"/>
  <c r="AO11" i="1" s="1"/>
  <c r="AJ43" i="1"/>
  <c r="AO43" i="1" s="1"/>
  <c r="AJ75" i="1"/>
  <c r="AO75" i="1" s="1"/>
  <c r="AI7" i="1"/>
  <c r="AI39" i="1"/>
  <c r="AI71" i="1"/>
  <c r="AI103" i="1"/>
  <c r="AN28" i="1"/>
  <c r="AN60" i="1"/>
  <c r="AN92" i="1"/>
  <c r="AM25" i="1"/>
  <c r="AM57" i="1"/>
  <c r="AM89" i="1"/>
  <c r="AL22" i="1"/>
  <c r="AL54" i="1"/>
  <c r="AL86" i="1"/>
  <c r="AK16" i="1"/>
  <c r="AK48" i="1"/>
  <c r="AK80" i="1"/>
  <c r="AJ12" i="1"/>
  <c r="AO12" i="1" s="1"/>
  <c r="AJ44" i="1"/>
  <c r="AO44" i="1" s="1"/>
  <c r="AJ76" i="1"/>
  <c r="AI8" i="1"/>
  <c r="AI40" i="1"/>
  <c r="AI72" i="1"/>
  <c r="AI104" i="1"/>
  <c r="AN29" i="1"/>
  <c r="AN61" i="1"/>
  <c r="AN93" i="1"/>
  <c r="AM58" i="1"/>
  <c r="AM90" i="1"/>
  <c r="AL23" i="1"/>
  <c r="AL55" i="1"/>
  <c r="AL87" i="1"/>
  <c r="AK17" i="1"/>
  <c r="AK49" i="1"/>
  <c r="AJ13" i="1"/>
  <c r="AO13" i="1" s="1"/>
  <c r="AJ45" i="1"/>
  <c r="AO45" i="1" s="1"/>
  <c r="AJ77" i="1"/>
  <c r="AI41" i="1"/>
  <c r="AI5" i="1"/>
  <c r="AL24" i="1"/>
  <c r="AJ73" i="1"/>
  <c r="AL19" i="1"/>
  <c r="AJ72" i="1"/>
  <c r="AL82" i="1"/>
  <c r="AI35" i="1"/>
  <c r="AN15" i="1"/>
  <c r="AI31" i="1"/>
  <c r="AO31" i="1" s="1"/>
  <c r="AL13" i="1"/>
  <c r="AI29" i="1"/>
  <c r="AO29" i="1" s="1"/>
  <c r="AK35" i="1"/>
  <c r="AM43" i="1"/>
  <c r="AL88" i="1"/>
  <c r="AN17" i="1"/>
  <c r="AI36" i="1"/>
  <c r="AN16" i="1"/>
  <c r="AJ71" i="1"/>
  <c r="AM48" i="1"/>
  <c r="AI95" i="1"/>
  <c r="AN14" i="1"/>
  <c r="AK101" i="1"/>
  <c r="AL75" i="1"/>
  <c r="AN78" i="1"/>
  <c r="AJ64" i="1"/>
  <c r="AL10" i="1"/>
  <c r="AJ62" i="1"/>
  <c r="AM42" i="1"/>
  <c r="AJ78" i="1"/>
  <c r="AK50" i="1"/>
  <c r="AI101" i="1"/>
  <c r="AK45" i="1"/>
  <c r="AJ8" i="1"/>
  <c r="AI99" i="1"/>
  <c r="AL81" i="1"/>
  <c r="AJ67" i="1"/>
  <c r="AO67" i="1" s="1"/>
  <c r="AK39" i="1"/>
  <c r="AL77" i="1"/>
  <c r="AO77" i="1" s="1"/>
  <c r="AI93" i="1"/>
  <c r="AO93" i="1" s="1"/>
  <c r="AJ65" i="1"/>
  <c r="AK37" i="1"/>
  <c r="AM45" i="1"/>
  <c r="AN12" i="1"/>
  <c r="AI92" i="1"/>
  <c r="AI28" i="1"/>
  <c r="AK36" i="1"/>
  <c r="AM44" i="1"/>
  <c r="AI91" i="1"/>
  <c r="AI27" i="1"/>
  <c r="AJ63" i="1"/>
  <c r="AK99" i="1"/>
  <c r="AL73" i="1"/>
  <c r="AL9" i="1"/>
  <c r="AN76" i="1"/>
  <c r="AI90" i="1"/>
  <c r="AO90" i="1" s="1"/>
  <c r="AI26" i="1"/>
  <c r="AK98" i="1"/>
  <c r="AK34" i="1"/>
  <c r="AL72" i="1"/>
  <c r="AL8" i="1"/>
  <c r="AN65" i="1"/>
  <c r="AI89" i="1"/>
  <c r="AI25" i="1"/>
  <c r="AJ61" i="1"/>
  <c r="AO61" i="1" s="1"/>
  <c r="AK97" i="1"/>
  <c r="AK33" i="1"/>
  <c r="AL71" i="1"/>
  <c r="AL7" i="1"/>
  <c r="AM41" i="1"/>
  <c r="AN64" i="1"/>
  <c r="AO101" i="1" l="1"/>
  <c r="AO50" i="1"/>
  <c r="AO80" i="1"/>
  <c r="AO78" i="1"/>
  <c r="AO41" i="1"/>
  <c r="AO33" i="1"/>
  <c r="AO51" i="1"/>
  <c r="AO16" i="1"/>
  <c r="AO46" i="1"/>
  <c r="AO15" i="1"/>
  <c r="AO65" i="1"/>
  <c r="AO82" i="1"/>
  <c r="AO103" i="1"/>
  <c r="AO19" i="1"/>
  <c r="AO14" i="1"/>
  <c r="AO37" i="1"/>
  <c r="AO102" i="1"/>
  <c r="AO47" i="1"/>
  <c r="AO35" i="1"/>
  <c r="AO38" i="1"/>
  <c r="AO5" i="1"/>
  <c r="AO83" i="1"/>
  <c r="AO39" i="1"/>
  <c r="AO85" i="1"/>
  <c r="AO70" i="1"/>
  <c r="AO57" i="1"/>
  <c r="AO99" i="1"/>
  <c r="AO25" i="1"/>
  <c r="AO97" i="1"/>
  <c r="AO89" i="1"/>
  <c r="AO71" i="1"/>
  <c r="AO56" i="1"/>
  <c r="AO7" i="1"/>
  <c r="AO27" i="1"/>
  <c r="AO66" i="1"/>
  <c r="AO52" i="1"/>
  <c r="AO60" i="1"/>
  <c r="AO26" i="1"/>
  <c r="AO48" i="1"/>
  <c r="AO81" i="1"/>
  <c r="AO54" i="1"/>
  <c r="AO58" i="1"/>
  <c r="AO34" i="1"/>
  <c r="AO30" i="1"/>
  <c r="AO36" i="1"/>
  <c r="AO94" i="1"/>
  <c r="AO18" i="1"/>
  <c r="AO95" i="1"/>
  <c r="AO17" i="1"/>
  <c r="AO53" i="1"/>
  <c r="AO59" i="1"/>
  <c r="AO91" i="1"/>
  <c r="AO104" i="1"/>
  <c r="AO72" i="1"/>
  <c r="AO28" i="1"/>
  <c r="AO40" i="1"/>
  <c r="AO92" i="1"/>
  <c r="AO8" i="1"/>
  <c r="AO96" i="1"/>
  <c r="AO64" i="1"/>
  <c r="AO22" i="1"/>
  <c r="AO100" i="1"/>
</calcChain>
</file>

<file path=xl/sharedStrings.xml><?xml version="1.0" encoding="utf-8"?>
<sst xmlns="http://schemas.openxmlformats.org/spreadsheetml/2006/main" count="147" uniqueCount="26">
  <si>
    <t>RECOILS</t>
  </si>
  <si>
    <t>He</t>
  </si>
  <si>
    <t>TARGET</t>
  </si>
  <si>
    <t>Total</t>
  </si>
  <si>
    <t>Ions</t>
  </si>
  <si>
    <t>Distribution</t>
  </si>
  <si>
    <t>DEPTH</t>
  </si>
  <si>
    <t>Recoil</t>
  </si>
  <si>
    <t>(Ang.)</t>
  </si>
  <si>
    <t>-----------</t>
  </si>
  <si>
    <t>----------</t>
  </si>
  <si>
    <t>------------</t>
  </si>
  <si>
    <t>145kev</t>
  </si>
  <si>
    <t>VACANCIES</t>
  </si>
  <si>
    <t>by</t>
  </si>
  <si>
    <t>IONS</t>
  </si>
  <si>
    <t>To</t>
  </si>
  <si>
    <t>convert</t>
  </si>
  <si>
    <t>325kev</t>
  </si>
  <si>
    <t>625kev</t>
  </si>
  <si>
    <t>925kev</t>
  </si>
  <si>
    <t>1225kev</t>
  </si>
  <si>
    <t>1525kev</t>
  </si>
  <si>
    <t>depth in um</t>
  </si>
  <si>
    <t>x</t>
  </si>
  <si>
    <t xml:space="preserve">fluence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</si>
</sst>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5"/>
  <sheetViews>
    <sheetView topLeftCell="F1" workbookViewId="0">
      <selection activeCell="AH4" sqref="AH4:AO4"/>
    </sheetView>
  </sheetViews>
  <sheetFormatPr defaultRowHeight="14.5" x14ac:dyDescent="0.35"/>
  <sheetData>
    <row r="1" spans="1:41" x14ac:dyDescent="0.35">
      <c r="C1" t="s">
        <v>12</v>
      </c>
      <c r="I1" t="s">
        <v>18</v>
      </c>
      <c r="N1" t="s">
        <v>19</v>
      </c>
      <c r="S1" t="s">
        <v>20</v>
      </c>
      <c r="Y1" t="s">
        <v>21</v>
      </c>
      <c r="AD1" t="s">
        <v>22</v>
      </c>
      <c r="AH1" t="s">
        <v>25</v>
      </c>
      <c r="AI1">
        <f>2.5*10^15</f>
        <v>2500000000000000</v>
      </c>
    </row>
    <row r="2" spans="1:41" x14ac:dyDescent="0.35">
      <c r="A2" t="s">
        <v>6</v>
      </c>
      <c r="B2" t="s">
        <v>1</v>
      </c>
      <c r="C2" t="s">
        <v>7</v>
      </c>
      <c r="D2" t="s">
        <v>23</v>
      </c>
      <c r="G2" t="s">
        <v>6</v>
      </c>
      <c r="H2" t="s">
        <v>1</v>
      </c>
      <c r="I2" t="s">
        <v>7</v>
      </c>
      <c r="L2" t="s">
        <v>6</v>
      </c>
      <c r="M2" t="s">
        <v>1</v>
      </c>
      <c r="N2" t="s">
        <v>7</v>
      </c>
      <c r="Q2" t="s">
        <v>6</v>
      </c>
      <c r="R2" t="s">
        <v>1</v>
      </c>
      <c r="S2" t="s">
        <v>7</v>
      </c>
      <c r="W2" t="s">
        <v>6</v>
      </c>
      <c r="X2" t="s">
        <v>1</v>
      </c>
      <c r="Y2" t="s">
        <v>7</v>
      </c>
      <c r="AB2" t="s">
        <v>6</v>
      </c>
      <c r="AC2" t="s">
        <v>1</v>
      </c>
      <c r="AD2" t="s">
        <v>7</v>
      </c>
    </row>
    <row r="3" spans="1:41" x14ac:dyDescent="0.35">
      <c r="A3" t="s">
        <v>8</v>
      </c>
      <c r="B3" t="s">
        <v>4</v>
      </c>
      <c r="C3" t="s">
        <v>5</v>
      </c>
      <c r="G3" t="s">
        <v>8</v>
      </c>
      <c r="H3" t="s">
        <v>4</v>
      </c>
      <c r="I3" t="s">
        <v>5</v>
      </c>
      <c r="L3" t="s">
        <v>8</v>
      </c>
      <c r="M3" t="s">
        <v>4</v>
      </c>
      <c r="N3" t="s">
        <v>5</v>
      </c>
      <c r="Q3" t="s">
        <v>8</v>
      </c>
      <c r="R3" t="s">
        <v>4</v>
      </c>
      <c r="S3" t="s">
        <v>5</v>
      </c>
      <c r="W3" t="s">
        <v>8</v>
      </c>
      <c r="X3" t="s">
        <v>4</v>
      </c>
      <c r="Y3" t="s">
        <v>5</v>
      </c>
      <c r="AB3" t="s">
        <v>8</v>
      </c>
      <c r="AC3" t="s">
        <v>4</v>
      </c>
      <c r="AD3" t="s">
        <v>5</v>
      </c>
    </row>
    <row r="4" spans="1:41" x14ac:dyDescent="0.35">
      <c r="A4" t="s">
        <v>9</v>
      </c>
      <c r="B4" t="s">
        <v>10</v>
      </c>
      <c r="C4" t="s">
        <v>11</v>
      </c>
      <c r="G4" t="s">
        <v>9</v>
      </c>
      <c r="H4" t="s">
        <v>10</v>
      </c>
      <c r="I4" t="s">
        <v>11</v>
      </c>
      <c r="L4" t="s">
        <v>9</v>
      </c>
      <c r="M4" t="s">
        <v>10</v>
      </c>
      <c r="N4" t="s">
        <v>11</v>
      </c>
      <c r="Q4" t="s">
        <v>9</v>
      </c>
      <c r="R4" t="s">
        <v>10</v>
      </c>
      <c r="S4" t="s">
        <v>11</v>
      </c>
      <c r="W4" t="s">
        <v>9</v>
      </c>
      <c r="X4" t="s">
        <v>10</v>
      </c>
      <c r="Y4" t="s">
        <v>11</v>
      </c>
      <c r="AB4" t="s">
        <v>9</v>
      </c>
      <c r="AC4" t="s">
        <v>10</v>
      </c>
      <c r="AD4" t="s">
        <v>11</v>
      </c>
      <c r="AH4" t="s">
        <v>24</v>
      </c>
      <c r="AI4">
        <v>145</v>
      </c>
      <c r="AJ4">
        <v>325</v>
      </c>
      <c r="AK4">
        <v>625</v>
      </c>
      <c r="AL4">
        <v>925</v>
      </c>
      <c r="AM4">
        <v>1225</v>
      </c>
      <c r="AN4">
        <v>1525</v>
      </c>
      <c r="AO4" t="s">
        <v>3</v>
      </c>
    </row>
    <row r="5" spans="1:41" x14ac:dyDescent="0.35">
      <c r="A5" s="1">
        <v>500.01</v>
      </c>
      <c r="B5" s="1">
        <v>447.33</v>
      </c>
      <c r="C5" s="1">
        <v>0</v>
      </c>
      <c r="D5" s="1">
        <f>A5/10000</f>
        <v>5.0000999999999997E-2</v>
      </c>
      <c r="E5" s="1"/>
      <c r="G5" s="1">
        <v>500.01</v>
      </c>
      <c r="H5" s="1">
        <v>85.751000000000005</v>
      </c>
      <c r="I5" s="1">
        <v>0</v>
      </c>
      <c r="J5" s="1"/>
      <c r="L5" s="1">
        <v>500.01</v>
      </c>
      <c r="M5" s="1">
        <v>0</v>
      </c>
      <c r="N5" s="1">
        <v>0</v>
      </c>
      <c r="O5" s="1"/>
      <c r="Q5" s="1">
        <v>500.01</v>
      </c>
      <c r="R5" s="1">
        <v>0</v>
      </c>
      <c r="S5" s="1">
        <v>0</v>
      </c>
      <c r="T5" s="1"/>
      <c r="W5" s="1">
        <v>500.01</v>
      </c>
      <c r="X5" s="1">
        <v>0</v>
      </c>
      <c r="Y5" s="1">
        <v>0</v>
      </c>
      <c r="Z5" s="1"/>
      <c r="AB5" s="1">
        <v>500.01</v>
      </c>
      <c r="AC5" s="1">
        <v>0</v>
      </c>
      <c r="AD5" s="1">
        <v>0</v>
      </c>
      <c r="AE5" s="1"/>
      <c r="AH5" s="1">
        <f>D5</f>
        <v>5.0000999999999997E-2</v>
      </c>
      <c r="AI5" s="1">
        <f>B5*($AI$1/8.23/10^22)*100</f>
        <v>1.3588396111786148E-3</v>
      </c>
      <c r="AJ5" s="1">
        <f>H5*($AI$1/8.23/10^22)*100</f>
        <v>2.6048298906439856E-4</v>
      </c>
      <c r="AK5" s="1">
        <f>M5*($AI$1/8.23/10^22)*100</f>
        <v>0</v>
      </c>
      <c r="AL5" s="1">
        <f>R5*($AI$1/8.23/10^22)*100</f>
        <v>0</v>
      </c>
      <c r="AM5" s="1">
        <f>X5*($AI$1/8.23/10^22)*100</f>
        <v>0</v>
      </c>
      <c r="AN5" s="1">
        <f>AC5*($AI$1/8.23/10^22)*100</f>
        <v>0</v>
      </c>
      <c r="AO5" s="1">
        <f>AVERAGE(AI5:AN5)</f>
        <v>2.6988710004050221E-4</v>
      </c>
    </row>
    <row r="6" spans="1:41" x14ac:dyDescent="0.35">
      <c r="A6" s="1">
        <v>1000.01</v>
      </c>
      <c r="B6" s="1">
        <v>909.57</v>
      </c>
      <c r="C6" s="1">
        <v>0</v>
      </c>
      <c r="D6" s="1">
        <f t="shared" ref="D6:D69" si="0">A6/10000</f>
        <v>0.10000099999999999</v>
      </c>
      <c r="E6" s="1"/>
      <c r="G6" s="1">
        <v>1000.01</v>
      </c>
      <c r="H6" s="1">
        <v>114.33</v>
      </c>
      <c r="I6" s="1">
        <v>0</v>
      </c>
      <c r="J6" s="1"/>
      <c r="L6" s="1">
        <v>1000.01</v>
      </c>
      <c r="M6" s="1">
        <v>38.625</v>
      </c>
      <c r="N6" s="1">
        <v>0</v>
      </c>
      <c r="O6" s="1"/>
      <c r="Q6" s="1">
        <v>1000.01</v>
      </c>
      <c r="R6" s="1">
        <v>0</v>
      </c>
      <c r="S6" s="1">
        <v>0</v>
      </c>
      <c r="T6" s="1"/>
      <c r="W6" s="1">
        <v>1000.01</v>
      </c>
      <c r="X6" s="1">
        <v>0</v>
      </c>
      <c r="Y6" s="1">
        <v>0</v>
      </c>
      <c r="Z6" s="1"/>
      <c r="AB6" s="1">
        <v>1000.01</v>
      </c>
      <c r="AC6" s="1">
        <v>0</v>
      </c>
      <c r="AD6" s="1">
        <v>0</v>
      </c>
      <c r="AE6" s="1"/>
      <c r="AH6" s="1">
        <f t="shared" ref="AH6:AH69" si="1">D6</f>
        <v>0.10000099999999999</v>
      </c>
      <c r="AI6" s="1">
        <f t="shared" ref="AI6:AI69" si="2">B6*($AI$1/8.23/10^22)*100</f>
        <v>2.7629708383961117E-3</v>
      </c>
      <c r="AJ6" s="1">
        <f t="shared" ref="AJ6:AJ69" si="3">H6*($AI$1/8.23/10^22)*100</f>
        <v>3.4729647630619683E-4</v>
      </c>
      <c r="AK6" s="1">
        <f t="shared" ref="AK6:AK69" si="4">M6*($AI$1/8.23/10^22)*100</f>
        <v>1.1732989064398542E-4</v>
      </c>
      <c r="AL6" s="1">
        <f t="shared" ref="AL6:AL69" si="5">R6*($AI$1/8.23/10^22)*100</f>
        <v>0</v>
      </c>
      <c r="AM6" s="1">
        <f t="shared" ref="AM6:AM69" si="6">X6*($AI$1/8.23/10^22)*100</f>
        <v>0</v>
      </c>
      <c r="AN6" s="1">
        <f t="shared" ref="AN6:AN69" si="7">AC6*($AI$1/8.23/10^22)*100</f>
        <v>0</v>
      </c>
      <c r="AO6" s="1">
        <f t="shared" ref="AO6:AO69" si="8">AVERAGE(AI6:AN6)</f>
        <v>5.3793286755771563E-4</v>
      </c>
    </row>
    <row r="7" spans="1:41" x14ac:dyDescent="0.35">
      <c r="A7" s="1">
        <v>1500.01</v>
      </c>
      <c r="B7" s="1">
        <v>1834</v>
      </c>
      <c r="C7" s="1">
        <v>0</v>
      </c>
      <c r="D7" s="1">
        <f t="shared" si="0"/>
        <v>0.150001</v>
      </c>
      <c r="E7" s="1"/>
      <c r="G7" s="1">
        <v>1500.01</v>
      </c>
      <c r="H7" s="1">
        <v>171.5</v>
      </c>
      <c r="I7" s="1">
        <v>0</v>
      </c>
      <c r="J7" s="1"/>
      <c r="L7" s="1">
        <v>1500.01</v>
      </c>
      <c r="M7" s="1">
        <v>0</v>
      </c>
      <c r="N7" s="1">
        <v>0</v>
      </c>
      <c r="O7" s="1"/>
      <c r="Q7" s="1">
        <v>1500.01</v>
      </c>
      <c r="R7" s="1">
        <v>0</v>
      </c>
      <c r="S7" s="1">
        <v>0</v>
      </c>
      <c r="T7" s="1"/>
      <c r="W7" s="1">
        <v>1500.01</v>
      </c>
      <c r="X7" s="1">
        <v>0</v>
      </c>
      <c r="Y7" s="1">
        <v>0</v>
      </c>
      <c r="Z7" s="1"/>
      <c r="AB7" s="1">
        <v>1500.01</v>
      </c>
      <c r="AC7" s="1">
        <v>0</v>
      </c>
      <c r="AD7" s="1">
        <v>0</v>
      </c>
      <c r="AE7" s="1"/>
      <c r="AH7" s="1">
        <f t="shared" si="1"/>
        <v>0.150001</v>
      </c>
      <c r="AI7" s="1">
        <f t="shared" si="2"/>
        <v>5.5710814094775208E-3</v>
      </c>
      <c r="AJ7" s="1">
        <f t="shared" si="3"/>
        <v>5.2095990279465369E-4</v>
      </c>
      <c r="AK7" s="1">
        <f t="shared" si="4"/>
        <v>0</v>
      </c>
      <c r="AL7" s="1">
        <f t="shared" si="5"/>
        <v>0</v>
      </c>
      <c r="AM7" s="1">
        <f t="shared" si="6"/>
        <v>0</v>
      </c>
      <c r="AN7" s="1">
        <f t="shared" si="7"/>
        <v>0</v>
      </c>
      <c r="AO7" s="1">
        <f t="shared" si="8"/>
        <v>1.0153402187120292E-3</v>
      </c>
    </row>
    <row r="8" spans="1:41" x14ac:dyDescent="0.35">
      <c r="A8" s="1">
        <v>2000.01</v>
      </c>
      <c r="B8" s="1">
        <v>3235.7</v>
      </c>
      <c r="C8" s="1">
        <v>0</v>
      </c>
      <c r="D8" s="1">
        <f t="shared" si="0"/>
        <v>0.20000100000000001</v>
      </c>
      <c r="E8" s="1"/>
      <c r="G8" s="1">
        <v>2000.01</v>
      </c>
      <c r="H8" s="1">
        <v>285.83999999999997</v>
      </c>
      <c r="I8" s="1">
        <v>0</v>
      </c>
      <c r="J8" s="1"/>
      <c r="L8" s="1">
        <v>2000.01</v>
      </c>
      <c r="M8" s="1">
        <v>0</v>
      </c>
      <c r="N8" s="1">
        <v>0</v>
      </c>
      <c r="O8" s="1"/>
      <c r="Q8" s="1">
        <v>2000.01</v>
      </c>
      <c r="R8" s="1">
        <v>0</v>
      </c>
      <c r="S8" s="1">
        <v>0</v>
      </c>
      <c r="T8" s="1"/>
      <c r="W8" s="1">
        <v>2000.01</v>
      </c>
      <c r="X8" s="1">
        <v>0</v>
      </c>
      <c r="Y8" s="1">
        <v>0</v>
      </c>
      <c r="Z8" s="1"/>
      <c r="AB8" s="1">
        <v>2000.01</v>
      </c>
      <c r="AC8" s="1">
        <v>0</v>
      </c>
      <c r="AD8" s="1">
        <v>0</v>
      </c>
      <c r="AE8" s="1"/>
      <c r="AH8" s="1">
        <f t="shared" si="1"/>
        <v>0.20000100000000001</v>
      </c>
      <c r="AI8" s="1">
        <f t="shared" si="2"/>
        <v>9.8289793438639111E-3</v>
      </c>
      <c r="AJ8" s="1">
        <f t="shared" si="3"/>
        <v>8.6828675577156741E-4</v>
      </c>
      <c r="AK8" s="1">
        <f t="shared" si="4"/>
        <v>0</v>
      </c>
      <c r="AL8" s="1">
        <f t="shared" si="5"/>
        <v>0</v>
      </c>
      <c r="AM8" s="1">
        <f t="shared" si="6"/>
        <v>0</v>
      </c>
      <c r="AN8" s="1">
        <f t="shared" si="7"/>
        <v>0</v>
      </c>
      <c r="AO8" s="1">
        <f t="shared" si="8"/>
        <v>1.7828776832725798E-3</v>
      </c>
    </row>
    <row r="9" spans="1:41" x14ac:dyDescent="0.35">
      <c r="A9" s="1">
        <v>2500.0100000000002</v>
      </c>
      <c r="B9" s="1">
        <v>6262.6</v>
      </c>
      <c r="C9" s="1">
        <v>0</v>
      </c>
      <c r="D9" s="1">
        <f t="shared" si="0"/>
        <v>0.25000100000000003</v>
      </c>
      <c r="E9" s="1"/>
      <c r="G9" s="1">
        <v>2500.0100000000002</v>
      </c>
      <c r="H9" s="1">
        <v>257.25</v>
      </c>
      <c r="I9" s="1">
        <v>0</v>
      </c>
      <c r="J9" s="1"/>
      <c r="L9" s="1">
        <v>2500.0100000000002</v>
      </c>
      <c r="M9" s="1">
        <v>77.25</v>
      </c>
      <c r="N9" s="1">
        <v>0</v>
      </c>
      <c r="O9" s="1"/>
      <c r="Q9" s="1">
        <v>2500.0100000000002</v>
      </c>
      <c r="R9" s="1">
        <v>57.356000000000002</v>
      </c>
      <c r="S9" s="1">
        <v>0</v>
      </c>
      <c r="T9" s="1"/>
      <c r="W9" s="1">
        <v>2500.0100000000002</v>
      </c>
      <c r="X9" s="1">
        <v>0</v>
      </c>
      <c r="Y9" s="1">
        <v>0</v>
      </c>
      <c r="Z9" s="1"/>
      <c r="AB9" s="1">
        <v>2500.0100000000002</v>
      </c>
      <c r="AC9" s="1">
        <v>0</v>
      </c>
      <c r="AD9" s="1">
        <v>0</v>
      </c>
      <c r="AE9" s="1"/>
      <c r="AH9" s="1">
        <f t="shared" si="1"/>
        <v>0.25000100000000003</v>
      </c>
      <c r="AI9" s="1">
        <f t="shared" si="2"/>
        <v>1.9023693803159172E-2</v>
      </c>
      <c r="AJ9" s="1">
        <f t="shared" si="3"/>
        <v>7.8143985419198048E-4</v>
      </c>
      <c r="AK9" s="1">
        <f t="shared" si="4"/>
        <v>2.3465978128797083E-4</v>
      </c>
      <c r="AL9" s="1">
        <f t="shared" si="5"/>
        <v>1.7422843256379101E-4</v>
      </c>
      <c r="AM9" s="1">
        <f t="shared" si="6"/>
        <v>0</v>
      </c>
      <c r="AN9" s="1">
        <f t="shared" si="7"/>
        <v>0</v>
      </c>
      <c r="AO9" s="1">
        <f t="shared" si="8"/>
        <v>3.3690036452004857E-3</v>
      </c>
    </row>
    <row r="10" spans="1:41" x14ac:dyDescent="0.35">
      <c r="A10" s="1">
        <v>3000.01</v>
      </c>
      <c r="B10" s="1">
        <v>11556</v>
      </c>
      <c r="C10" s="1">
        <v>0</v>
      </c>
      <c r="D10" s="1">
        <f t="shared" si="0"/>
        <v>0.30000100000000002</v>
      </c>
      <c r="E10" s="1"/>
      <c r="G10" s="1">
        <v>3000.01</v>
      </c>
      <c r="H10" s="1">
        <v>485.92</v>
      </c>
      <c r="I10" s="1">
        <v>0</v>
      </c>
      <c r="J10" s="1"/>
      <c r="L10" s="1">
        <v>3000.01</v>
      </c>
      <c r="M10" s="1">
        <v>38.625</v>
      </c>
      <c r="N10" s="1">
        <v>0</v>
      </c>
      <c r="O10" s="1"/>
      <c r="Q10" s="1">
        <v>3000.01</v>
      </c>
      <c r="R10" s="1">
        <v>0</v>
      </c>
      <c r="S10" s="1">
        <v>0</v>
      </c>
      <c r="T10" s="1"/>
      <c r="W10" s="1">
        <v>3000.01</v>
      </c>
      <c r="X10" s="1">
        <v>0</v>
      </c>
      <c r="Y10" s="1">
        <v>0</v>
      </c>
      <c r="Z10" s="1"/>
      <c r="AB10" s="1">
        <v>3000.01</v>
      </c>
      <c r="AC10" s="1">
        <v>30.12</v>
      </c>
      <c r="AD10" s="1">
        <v>0</v>
      </c>
      <c r="AE10" s="1"/>
      <c r="AH10" s="1">
        <f t="shared" si="1"/>
        <v>0.30000100000000002</v>
      </c>
      <c r="AI10" s="1">
        <f t="shared" si="2"/>
        <v>3.5103280680437422E-2</v>
      </c>
      <c r="AJ10" s="1">
        <f t="shared" si="3"/>
        <v>1.4760631834750911E-3</v>
      </c>
      <c r="AK10" s="1">
        <f t="shared" si="4"/>
        <v>1.1732989064398542E-4</v>
      </c>
      <c r="AL10" s="1">
        <f t="shared" si="5"/>
        <v>0</v>
      </c>
      <c r="AM10" s="1">
        <f t="shared" si="6"/>
        <v>0</v>
      </c>
      <c r="AN10" s="1">
        <f t="shared" si="7"/>
        <v>9.1494532199270956E-5</v>
      </c>
      <c r="AO10" s="1">
        <f t="shared" si="8"/>
        <v>6.1313613811259616E-3</v>
      </c>
    </row>
    <row r="11" spans="1:41" x14ac:dyDescent="0.35">
      <c r="A11" s="1">
        <v>3500.01</v>
      </c>
      <c r="B11" s="1">
        <v>21397</v>
      </c>
      <c r="C11" s="1">
        <v>0</v>
      </c>
      <c r="D11" s="1">
        <f t="shared" si="0"/>
        <v>0.35000100000000001</v>
      </c>
      <c r="E11" s="1"/>
      <c r="G11" s="1">
        <v>3500.01</v>
      </c>
      <c r="H11" s="1">
        <v>657.42</v>
      </c>
      <c r="I11" s="1">
        <v>0</v>
      </c>
      <c r="J11" s="1"/>
      <c r="L11" s="1">
        <v>3500.01</v>
      </c>
      <c r="M11" s="1">
        <v>77.25</v>
      </c>
      <c r="N11" s="1">
        <v>0</v>
      </c>
      <c r="O11" s="1"/>
      <c r="Q11" s="1">
        <v>3500.01</v>
      </c>
      <c r="R11" s="1">
        <v>57.356000000000002</v>
      </c>
      <c r="S11" s="1">
        <v>0</v>
      </c>
      <c r="T11" s="1"/>
      <c r="W11" s="1">
        <v>3500.01</v>
      </c>
      <c r="X11" s="1">
        <v>0</v>
      </c>
      <c r="Y11" s="1">
        <v>0</v>
      </c>
      <c r="Z11" s="1"/>
      <c r="AB11" s="1">
        <v>3500.01</v>
      </c>
      <c r="AC11" s="1">
        <v>0</v>
      </c>
      <c r="AD11" s="1">
        <v>0</v>
      </c>
      <c r="AE11" s="1"/>
      <c r="AH11" s="1">
        <f t="shared" si="1"/>
        <v>0.35000100000000001</v>
      </c>
      <c r="AI11" s="1">
        <f t="shared" si="2"/>
        <v>6.4996962332928301E-2</v>
      </c>
      <c r="AJ11" s="1">
        <f t="shared" si="3"/>
        <v>1.9970230862697445E-3</v>
      </c>
      <c r="AK11" s="1">
        <f t="shared" si="4"/>
        <v>2.3465978128797083E-4</v>
      </c>
      <c r="AL11" s="1">
        <f t="shared" si="5"/>
        <v>1.7422843256379101E-4</v>
      </c>
      <c r="AM11" s="1">
        <f t="shared" si="6"/>
        <v>0</v>
      </c>
      <c r="AN11" s="1">
        <f t="shared" si="7"/>
        <v>0</v>
      </c>
      <c r="AO11" s="1">
        <f t="shared" si="8"/>
        <v>1.1233812272174968E-2</v>
      </c>
    </row>
    <row r="12" spans="1:41" x14ac:dyDescent="0.35">
      <c r="A12" s="1">
        <v>4000.01</v>
      </c>
      <c r="B12" s="1">
        <v>37054</v>
      </c>
      <c r="C12" s="1">
        <v>0</v>
      </c>
      <c r="D12" s="1">
        <f t="shared" si="0"/>
        <v>0.400001</v>
      </c>
      <c r="E12" s="1"/>
      <c r="G12" s="1">
        <v>4000.01</v>
      </c>
      <c r="H12" s="1">
        <v>1143.3</v>
      </c>
      <c r="I12" s="1">
        <v>0</v>
      </c>
      <c r="J12" s="1"/>
      <c r="L12" s="1">
        <v>4000.01</v>
      </c>
      <c r="M12" s="1">
        <v>38.625</v>
      </c>
      <c r="N12" s="1">
        <v>0</v>
      </c>
      <c r="O12" s="1"/>
      <c r="Q12" s="1">
        <v>4000.01</v>
      </c>
      <c r="R12" s="1">
        <v>0</v>
      </c>
      <c r="S12" s="1">
        <v>0</v>
      </c>
      <c r="T12" s="1"/>
      <c r="W12" s="1">
        <v>4000.01</v>
      </c>
      <c r="X12" s="1">
        <v>0</v>
      </c>
      <c r="Y12" s="1">
        <v>0</v>
      </c>
      <c r="Z12" s="1"/>
      <c r="AB12" s="1">
        <v>4000.01</v>
      </c>
      <c r="AC12" s="1">
        <v>0</v>
      </c>
      <c r="AD12" s="1">
        <v>0</v>
      </c>
      <c r="AE12" s="1"/>
      <c r="AH12" s="1">
        <f t="shared" si="1"/>
        <v>0.400001</v>
      </c>
      <c r="AI12" s="1">
        <f t="shared" si="2"/>
        <v>0.1125577156743621</v>
      </c>
      <c r="AJ12" s="1">
        <f t="shared" si="3"/>
        <v>3.4729647630619685E-3</v>
      </c>
      <c r="AK12" s="1">
        <f t="shared" si="4"/>
        <v>1.1732989064398542E-4</v>
      </c>
      <c r="AL12" s="1">
        <f t="shared" si="5"/>
        <v>0</v>
      </c>
      <c r="AM12" s="1">
        <f t="shared" si="6"/>
        <v>0</v>
      </c>
      <c r="AN12" s="1">
        <f t="shared" si="7"/>
        <v>0</v>
      </c>
      <c r="AO12" s="1">
        <f t="shared" si="8"/>
        <v>1.9358001721344675E-2</v>
      </c>
    </row>
    <row r="13" spans="1:41" x14ac:dyDescent="0.35">
      <c r="A13" s="1">
        <v>4500.01</v>
      </c>
      <c r="B13" s="1">
        <v>48490</v>
      </c>
      <c r="C13" s="1">
        <v>0</v>
      </c>
      <c r="D13" s="1">
        <f t="shared" si="0"/>
        <v>0.45000100000000004</v>
      </c>
      <c r="E13" s="1"/>
      <c r="G13" s="1">
        <v>4500.01</v>
      </c>
      <c r="H13" s="1">
        <v>1629.3</v>
      </c>
      <c r="I13" s="1">
        <v>0</v>
      </c>
      <c r="J13" s="1"/>
      <c r="L13" s="1">
        <v>4500.01</v>
      </c>
      <c r="M13" s="1">
        <v>115.87</v>
      </c>
      <c r="N13" s="1">
        <v>0</v>
      </c>
      <c r="O13" s="1"/>
      <c r="Q13" s="1">
        <v>4500.01</v>
      </c>
      <c r="R13" s="1">
        <v>57.356000000000002</v>
      </c>
      <c r="S13" s="1">
        <v>0</v>
      </c>
      <c r="T13" s="1"/>
      <c r="W13" s="1">
        <v>4500.01</v>
      </c>
      <c r="X13" s="1">
        <v>0</v>
      </c>
      <c r="Y13" s="1">
        <v>0</v>
      </c>
      <c r="Z13" s="1"/>
      <c r="AB13" s="1">
        <v>4500.01</v>
      </c>
      <c r="AC13" s="1">
        <v>0</v>
      </c>
      <c r="AD13" s="1">
        <v>0</v>
      </c>
      <c r="AE13" s="1"/>
      <c r="AH13" s="1">
        <f t="shared" si="1"/>
        <v>0.45000100000000004</v>
      </c>
      <c r="AI13" s="1">
        <f t="shared" si="2"/>
        <v>0.14729647630619686</v>
      </c>
      <c r="AJ13" s="1">
        <f t="shared" si="3"/>
        <v>4.9492709599027939E-3</v>
      </c>
      <c r="AK13" s="1">
        <f t="shared" si="4"/>
        <v>3.5197448359659779E-4</v>
      </c>
      <c r="AL13" s="1">
        <f t="shared" si="5"/>
        <v>1.7422843256379101E-4</v>
      </c>
      <c r="AM13" s="1">
        <f t="shared" si="6"/>
        <v>0</v>
      </c>
      <c r="AN13" s="1">
        <f t="shared" si="7"/>
        <v>0</v>
      </c>
      <c r="AO13" s="1">
        <f t="shared" si="8"/>
        <v>2.546199169704334E-2</v>
      </c>
    </row>
    <row r="14" spans="1:41" x14ac:dyDescent="0.35">
      <c r="A14" s="1">
        <v>5000.01</v>
      </c>
      <c r="B14" s="1">
        <v>43734</v>
      </c>
      <c r="C14" s="1">
        <v>0</v>
      </c>
      <c r="D14" s="1">
        <f t="shared" si="0"/>
        <v>0.50000100000000003</v>
      </c>
      <c r="E14" s="1"/>
      <c r="G14" s="1">
        <v>5000.01</v>
      </c>
      <c r="H14" s="1">
        <v>3430</v>
      </c>
      <c r="I14" s="1">
        <v>0</v>
      </c>
      <c r="J14" s="1"/>
      <c r="L14" s="1">
        <v>5000.01</v>
      </c>
      <c r="M14" s="1">
        <v>309</v>
      </c>
      <c r="N14" s="1">
        <v>0</v>
      </c>
      <c r="O14" s="1"/>
      <c r="Q14" s="1">
        <v>5000.01</v>
      </c>
      <c r="R14" s="1">
        <v>0</v>
      </c>
      <c r="S14" s="1">
        <v>0</v>
      </c>
      <c r="T14" s="1"/>
      <c r="W14" s="1">
        <v>5000.01</v>
      </c>
      <c r="X14" s="1">
        <v>0</v>
      </c>
      <c r="Y14" s="1">
        <v>0</v>
      </c>
      <c r="Z14" s="1"/>
      <c r="AB14" s="1">
        <v>5000.01</v>
      </c>
      <c r="AC14" s="1">
        <v>0</v>
      </c>
      <c r="AD14" s="1">
        <v>0</v>
      </c>
      <c r="AE14" s="1"/>
      <c r="AH14" s="1">
        <f t="shared" si="1"/>
        <v>0.50000100000000003</v>
      </c>
      <c r="AI14" s="1">
        <f t="shared" si="2"/>
        <v>0.13284933171324423</v>
      </c>
      <c r="AJ14" s="1">
        <f t="shared" si="3"/>
        <v>1.0419198055893072E-2</v>
      </c>
      <c r="AK14" s="1">
        <f t="shared" si="4"/>
        <v>9.3863912515188333E-4</v>
      </c>
      <c r="AL14" s="1">
        <f t="shared" si="5"/>
        <v>0</v>
      </c>
      <c r="AM14" s="1">
        <f t="shared" si="6"/>
        <v>0</v>
      </c>
      <c r="AN14" s="1">
        <f t="shared" si="7"/>
        <v>0</v>
      </c>
      <c r="AO14" s="1">
        <f t="shared" si="8"/>
        <v>2.4034528149048193E-2</v>
      </c>
    </row>
    <row r="15" spans="1:41" x14ac:dyDescent="0.35">
      <c r="A15" s="1">
        <v>5500.01</v>
      </c>
      <c r="B15" s="1">
        <v>19951</v>
      </c>
      <c r="C15" s="1">
        <v>0</v>
      </c>
      <c r="D15" s="1">
        <f t="shared" si="0"/>
        <v>0.55000100000000007</v>
      </c>
      <c r="E15" s="1"/>
      <c r="G15" s="1">
        <v>5500.01</v>
      </c>
      <c r="H15" s="1">
        <v>5316.6</v>
      </c>
      <c r="I15" s="1">
        <v>0</v>
      </c>
      <c r="J15" s="1"/>
      <c r="L15" s="1">
        <v>5500.01</v>
      </c>
      <c r="M15" s="1">
        <v>38.625</v>
      </c>
      <c r="N15" s="1">
        <v>0</v>
      </c>
      <c r="O15" s="1"/>
      <c r="Q15" s="1">
        <v>5500.01</v>
      </c>
      <c r="R15" s="1">
        <v>0</v>
      </c>
      <c r="S15" s="1">
        <v>0</v>
      </c>
      <c r="T15" s="1"/>
      <c r="W15" s="1">
        <v>5500.01</v>
      </c>
      <c r="X15" s="1">
        <v>0</v>
      </c>
      <c r="Y15" s="1">
        <v>0</v>
      </c>
      <c r="Z15" s="1"/>
      <c r="AB15" s="1">
        <v>5500.01</v>
      </c>
      <c r="AC15" s="1">
        <v>0</v>
      </c>
      <c r="AD15" s="1">
        <v>0</v>
      </c>
      <c r="AE15" s="1"/>
      <c r="AH15" s="1">
        <f t="shared" si="1"/>
        <v>0.55000100000000007</v>
      </c>
      <c r="AI15" s="1">
        <f t="shared" si="2"/>
        <v>6.0604495747266098E-2</v>
      </c>
      <c r="AJ15" s="1">
        <f t="shared" si="3"/>
        <v>1.6150060753341432E-2</v>
      </c>
      <c r="AK15" s="1">
        <f t="shared" si="4"/>
        <v>1.1732989064398542E-4</v>
      </c>
      <c r="AL15" s="1">
        <f t="shared" si="5"/>
        <v>0</v>
      </c>
      <c r="AM15" s="1">
        <f t="shared" si="6"/>
        <v>0</v>
      </c>
      <c r="AN15" s="1">
        <f t="shared" si="7"/>
        <v>0</v>
      </c>
      <c r="AO15" s="1">
        <f t="shared" si="8"/>
        <v>1.2811981065208587E-2</v>
      </c>
    </row>
    <row r="16" spans="1:41" x14ac:dyDescent="0.35">
      <c r="A16" s="1">
        <v>6000.01</v>
      </c>
      <c r="B16" s="1">
        <v>3876.8</v>
      </c>
      <c r="C16" s="1">
        <v>0</v>
      </c>
      <c r="D16" s="1">
        <f t="shared" si="0"/>
        <v>0.60000100000000001</v>
      </c>
      <c r="E16" s="1"/>
      <c r="G16" s="1">
        <v>6000.01</v>
      </c>
      <c r="H16" s="1">
        <v>10404</v>
      </c>
      <c r="I16" s="1">
        <v>0</v>
      </c>
      <c r="J16" s="1"/>
      <c r="L16" s="1">
        <v>6000.01</v>
      </c>
      <c r="M16" s="1">
        <v>154.5</v>
      </c>
      <c r="N16" s="1">
        <v>0</v>
      </c>
      <c r="O16" s="1"/>
      <c r="Q16" s="1">
        <v>6000.01</v>
      </c>
      <c r="R16" s="1">
        <v>0</v>
      </c>
      <c r="S16" s="1">
        <v>0</v>
      </c>
      <c r="T16" s="1"/>
      <c r="W16" s="1">
        <v>6000.01</v>
      </c>
      <c r="X16" s="1">
        <v>0</v>
      </c>
      <c r="Y16" s="1">
        <v>0</v>
      </c>
      <c r="Z16" s="1"/>
      <c r="AB16" s="1">
        <v>6000.01</v>
      </c>
      <c r="AC16" s="1">
        <v>0</v>
      </c>
      <c r="AD16" s="1">
        <v>0</v>
      </c>
      <c r="AE16" s="1"/>
      <c r="AH16" s="1">
        <f t="shared" si="1"/>
        <v>0.60000100000000001</v>
      </c>
      <c r="AI16" s="1">
        <f t="shared" si="2"/>
        <v>1.1776427703523693E-2</v>
      </c>
      <c r="AJ16" s="1">
        <f t="shared" si="3"/>
        <v>3.1603888213851759E-2</v>
      </c>
      <c r="AK16" s="1">
        <f t="shared" si="4"/>
        <v>4.6931956257594167E-4</v>
      </c>
      <c r="AL16" s="1">
        <f t="shared" si="5"/>
        <v>0</v>
      </c>
      <c r="AM16" s="1">
        <f t="shared" si="6"/>
        <v>0</v>
      </c>
      <c r="AN16" s="1">
        <f t="shared" si="7"/>
        <v>0</v>
      </c>
      <c r="AO16" s="1">
        <f t="shared" si="8"/>
        <v>7.3082725799918993E-3</v>
      </c>
    </row>
    <row r="17" spans="1:41" x14ac:dyDescent="0.35">
      <c r="A17" s="1">
        <v>6500.01</v>
      </c>
      <c r="B17" s="1">
        <v>328.04</v>
      </c>
      <c r="C17" s="1">
        <v>0</v>
      </c>
      <c r="D17" s="1">
        <f t="shared" si="0"/>
        <v>0.65000100000000005</v>
      </c>
      <c r="E17" s="1"/>
      <c r="G17" s="1">
        <v>6500.01</v>
      </c>
      <c r="H17" s="1">
        <v>18436</v>
      </c>
      <c r="I17" s="1">
        <v>0</v>
      </c>
      <c r="J17" s="1"/>
      <c r="L17" s="1">
        <v>6500.01</v>
      </c>
      <c r="M17" s="1">
        <v>270.37</v>
      </c>
      <c r="N17" s="1">
        <v>0</v>
      </c>
      <c r="O17" s="1"/>
      <c r="Q17" s="1">
        <v>6500.01</v>
      </c>
      <c r="R17" s="1">
        <v>0</v>
      </c>
      <c r="S17" s="1">
        <v>0</v>
      </c>
      <c r="T17" s="1"/>
      <c r="W17" s="1">
        <v>6500.01</v>
      </c>
      <c r="X17" s="1">
        <v>63.917999999999999</v>
      </c>
      <c r="Y17" s="1">
        <v>0</v>
      </c>
      <c r="Z17" s="1"/>
      <c r="AB17" s="1">
        <v>6500.01</v>
      </c>
      <c r="AC17" s="1">
        <v>0</v>
      </c>
      <c r="AD17" s="1">
        <v>0</v>
      </c>
      <c r="AE17" s="1"/>
      <c r="AH17" s="1">
        <f t="shared" si="1"/>
        <v>0.65000100000000005</v>
      </c>
      <c r="AI17" s="1">
        <f t="shared" si="2"/>
        <v>9.9647630619684093E-4</v>
      </c>
      <c r="AJ17" s="1">
        <f t="shared" si="3"/>
        <v>5.6002430133657341E-2</v>
      </c>
      <c r="AK17" s="1">
        <f t="shared" si="4"/>
        <v>8.2129404617253951E-4</v>
      </c>
      <c r="AL17" s="1">
        <f t="shared" si="5"/>
        <v>0</v>
      </c>
      <c r="AM17" s="1">
        <f t="shared" si="6"/>
        <v>1.9416160388821384E-4</v>
      </c>
      <c r="AN17" s="1">
        <f t="shared" si="7"/>
        <v>0</v>
      </c>
      <c r="AO17" s="1">
        <f t="shared" si="8"/>
        <v>9.6690603483191567E-3</v>
      </c>
    </row>
    <row r="18" spans="1:41" x14ac:dyDescent="0.35">
      <c r="A18" s="1">
        <v>7000.01</v>
      </c>
      <c r="B18" s="1">
        <v>14.911</v>
      </c>
      <c r="C18" s="1">
        <v>0</v>
      </c>
      <c r="D18" s="1">
        <f t="shared" si="0"/>
        <v>0.70000099999999998</v>
      </c>
      <c r="E18" s="1"/>
      <c r="G18" s="1">
        <v>7000.01</v>
      </c>
      <c r="H18" s="1">
        <v>30156</v>
      </c>
      <c r="I18" s="1">
        <v>0</v>
      </c>
      <c r="J18" s="1"/>
      <c r="L18" s="1">
        <v>7000.01</v>
      </c>
      <c r="M18" s="1">
        <v>270.37</v>
      </c>
      <c r="N18" s="1">
        <v>0</v>
      </c>
      <c r="O18" s="1"/>
      <c r="Q18" s="1">
        <v>7000.01</v>
      </c>
      <c r="R18" s="1">
        <v>114.71</v>
      </c>
      <c r="S18" s="1">
        <v>0</v>
      </c>
      <c r="T18" s="1"/>
      <c r="W18" s="1">
        <v>7000.01</v>
      </c>
      <c r="X18" s="1">
        <v>0</v>
      </c>
      <c r="Y18" s="1">
        <v>0</v>
      </c>
      <c r="Z18" s="1"/>
      <c r="AB18" s="1">
        <v>7000.01</v>
      </c>
      <c r="AC18" s="1">
        <v>0</v>
      </c>
      <c r="AD18" s="1">
        <v>0</v>
      </c>
      <c r="AE18" s="1"/>
      <c r="AH18" s="1">
        <f t="shared" si="1"/>
        <v>0.70000099999999998</v>
      </c>
      <c r="AI18" s="1">
        <f t="shared" si="2"/>
        <v>4.5294653705953826E-5</v>
      </c>
      <c r="AJ18" s="1">
        <f t="shared" si="3"/>
        <v>9.1603888213851764E-2</v>
      </c>
      <c r="AK18" s="1">
        <f t="shared" si="4"/>
        <v>8.2129404617253951E-4</v>
      </c>
      <c r="AL18" s="1">
        <f t="shared" si="5"/>
        <v>3.4845078979343864E-4</v>
      </c>
      <c r="AM18" s="1">
        <f t="shared" si="6"/>
        <v>0</v>
      </c>
      <c r="AN18" s="1">
        <f t="shared" si="7"/>
        <v>0</v>
      </c>
      <c r="AO18" s="1">
        <f t="shared" si="8"/>
        <v>1.5469821283920616E-2</v>
      </c>
    </row>
    <row r="19" spans="1:41" x14ac:dyDescent="0.35">
      <c r="A19" s="1">
        <v>7500.01</v>
      </c>
      <c r="B19" s="1">
        <v>0</v>
      </c>
      <c r="C19" s="1">
        <v>0</v>
      </c>
      <c r="D19" s="1">
        <f t="shared" si="0"/>
        <v>0.75000100000000003</v>
      </c>
      <c r="E19" s="1"/>
      <c r="G19" s="1">
        <v>7500.01</v>
      </c>
      <c r="H19" s="1">
        <v>42390</v>
      </c>
      <c r="I19" s="1">
        <v>0</v>
      </c>
      <c r="J19" s="1"/>
      <c r="L19" s="1">
        <v>7500.01</v>
      </c>
      <c r="M19" s="1">
        <v>811.12</v>
      </c>
      <c r="N19" s="1">
        <v>0</v>
      </c>
      <c r="O19" s="1"/>
      <c r="Q19" s="1">
        <v>7500.01</v>
      </c>
      <c r="R19" s="1">
        <v>114.71</v>
      </c>
      <c r="S19" s="1">
        <v>0</v>
      </c>
      <c r="T19" s="1"/>
      <c r="W19" s="1">
        <v>7500.01</v>
      </c>
      <c r="X19" s="1">
        <v>0</v>
      </c>
      <c r="Y19" s="1">
        <v>0</v>
      </c>
      <c r="Z19" s="1"/>
      <c r="AB19" s="1">
        <v>7500.01</v>
      </c>
      <c r="AC19" s="1">
        <v>0</v>
      </c>
      <c r="AD19" s="1">
        <v>0</v>
      </c>
      <c r="AE19" s="1"/>
      <c r="AH19" s="1">
        <f t="shared" si="1"/>
        <v>0.75000100000000003</v>
      </c>
      <c r="AI19" s="1">
        <f t="shared" si="2"/>
        <v>0</v>
      </c>
      <c r="AJ19" s="1">
        <f t="shared" si="3"/>
        <v>0.1287667071688943</v>
      </c>
      <c r="AK19" s="1">
        <f t="shared" si="4"/>
        <v>2.4639125151883351E-3</v>
      </c>
      <c r="AL19" s="1">
        <f t="shared" si="5"/>
        <v>3.4845078979343864E-4</v>
      </c>
      <c r="AM19" s="1">
        <f t="shared" si="6"/>
        <v>0</v>
      </c>
      <c r="AN19" s="1">
        <f t="shared" si="7"/>
        <v>0</v>
      </c>
      <c r="AO19" s="1">
        <f t="shared" si="8"/>
        <v>2.192984507897934E-2</v>
      </c>
    </row>
    <row r="20" spans="1:41" x14ac:dyDescent="0.35">
      <c r="A20" s="1">
        <v>8000.01</v>
      </c>
      <c r="B20" s="1">
        <v>0</v>
      </c>
      <c r="C20" s="1">
        <v>0</v>
      </c>
      <c r="D20" s="1">
        <f t="shared" si="0"/>
        <v>0.80000100000000007</v>
      </c>
      <c r="E20" s="1"/>
      <c r="G20" s="1">
        <v>8000.01</v>
      </c>
      <c r="H20" s="1">
        <v>44676</v>
      </c>
      <c r="I20" s="1">
        <v>0</v>
      </c>
      <c r="J20" s="1"/>
      <c r="L20" s="1">
        <v>8000.01</v>
      </c>
      <c r="M20" s="1">
        <v>579.37</v>
      </c>
      <c r="N20" s="1">
        <v>0</v>
      </c>
      <c r="O20" s="1"/>
      <c r="Q20" s="1">
        <v>8000.01</v>
      </c>
      <c r="R20" s="1">
        <v>57.356000000000002</v>
      </c>
      <c r="S20" s="1">
        <v>0</v>
      </c>
      <c r="T20" s="1"/>
      <c r="W20" s="1">
        <v>8000.01</v>
      </c>
      <c r="X20" s="1">
        <v>0</v>
      </c>
      <c r="Y20" s="1">
        <v>0</v>
      </c>
      <c r="Z20" s="1"/>
      <c r="AB20" s="1">
        <v>8000.01</v>
      </c>
      <c r="AC20" s="1">
        <v>30.12</v>
      </c>
      <c r="AD20" s="1">
        <v>0</v>
      </c>
      <c r="AE20" s="1"/>
      <c r="AH20" s="1">
        <f t="shared" si="1"/>
        <v>0.80000100000000007</v>
      </c>
      <c r="AI20" s="1">
        <f t="shared" si="2"/>
        <v>0</v>
      </c>
      <c r="AJ20" s="1">
        <f t="shared" si="3"/>
        <v>0.1357108140947752</v>
      </c>
      <c r="AK20" s="1">
        <f t="shared" si="4"/>
        <v>1.7599331713244225E-3</v>
      </c>
      <c r="AL20" s="1">
        <f t="shared" si="5"/>
        <v>1.7422843256379101E-4</v>
      </c>
      <c r="AM20" s="1">
        <f t="shared" si="6"/>
        <v>0</v>
      </c>
      <c r="AN20" s="1">
        <f t="shared" si="7"/>
        <v>9.1494532199270956E-5</v>
      </c>
      <c r="AO20" s="1">
        <f t="shared" si="8"/>
        <v>2.2956078371810448E-2</v>
      </c>
    </row>
    <row r="21" spans="1:41" x14ac:dyDescent="0.35">
      <c r="A21" s="1">
        <v>8500.01</v>
      </c>
      <c r="B21" s="1">
        <v>0</v>
      </c>
      <c r="C21" s="1">
        <v>0</v>
      </c>
      <c r="D21" s="1">
        <f t="shared" si="0"/>
        <v>0.85000100000000001</v>
      </c>
      <c r="E21" s="1"/>
      <c r="G21" s="1">
        <v>8500.01</v>
      </c>
      <c r="H21" s="1">
        <v>28212</v>
      </c>
      <c r="I21" s="1">
        <v>0</v>
      </c>
      <c r="J21" s="1"/>
      <c r="L21" s="1">
        <v>8500.01</v>
      </c>
      <c r="M21" s="1">
        <v>1197.4000000000001</v>
      </c>
      <c r="N21" s="1">
        <v>0</v>
      </c>
      <c r="O21" s="1"/>
      <c r="Q21" s="1">
        <v>8500.01</v>
      </c>
      <c r="R21" s="1">
        <v>114.71</v>
      </c>
      <c r="S21" s="1">
        <v>0</v>
      </c>
      <c r="T21" s="1"/>
      <c r="W21" s="1">
        <v>8500.01</v>
      </c>
      <c r="X21" s="1">
        <v>0</v>
      </c>
      <c r="Y21" s="1">
        <v>0</v>
      </c>
      <c r="Z21" s="1"/>
      <c r="AB21" s="1">
        <v>8500.01</v>
      </c>
      <c r="AC21" s="1">
        <v>0</v>
      </c>
      <c r="AD21" s="1">
        <v>0</v>
      </c>
      <c r="AE21" s="1"/>
      <c r="AH21" s="1">
        <f t="shared" si="1"/>
        <v>0.85000100000000001</v>
      </c>
      <c r="AI21" s="1">
        <f t="shared" si="2"/>
        <v>0</v>
      </c>
      <c r="AJ21" s="1">
        <f t="shared" si="3"/>
        <v>8.569866342648845E-2</v>
      </c>
      <c r="AK21" s="1">
        <f t="shared" si="4"/>
        <v>3.63730255164034E-3</v>
      </c>
      <c r="AL21" s="1">
        <f t="shared" si="5"/>
        <v>3.4845078979343864E-4</v>
      </c>
      <c r="AM21" s="1">
        <f t="shared" si="6"/>
        <v>0</v>
      </c>
      <c r="AN21" s="1">
        <f t="shared" si="7"/>
        <v>0</v>
      </c>
      <c r="AO21" s="1">
        <f t="shared" si="8"/>
        <v>1.4947402794653704E-2</v>
      </c>
    </row>
    <row r="22" spans="1:41" x14ac:dyDescent="0.35">
      <c r="A22" s="1">
        <v>9000.01</v>
      </c>
      <c r="B22" s="1">
        <v>0</v>
      </c>
      <c r="C22" s="1">
        <v>0</v>
      </c>
      <c r="D22" s="1">
        <f t="shared" si="0"/>
        <v>0.90000100000000005</v>
      </c>
      <c r="E22" s="1"/>
      <c r="G22" s="1">
        <v>9000.01</v>
      </c>
      <c r="H22" s="1">
        <v>9861.4</v>
      </c>
      <c r="I22" s="1">
        <v>0</v>
      </c>
      <c r="J22" s="1"/>
      <c r="L22" s="1">
        <v>9000.01</v>
      </c>
      <c r="M22" s="1">
        <v>2510.6</v>
      </c>
      <c r="N22" s="1">
        <v>0</v>
      </c>
      <c r="O22" s="1"/>
      <c r="Q22" s="1">
        <v>9000.01</v>
      </c>
      <c r="R22" s="1">
        <v>229.42</v>
      </c>
      <c r="S22" s="1">
        <v>0</v>
      </c>
      <c r="T22" s="1"/>
      <c r="W22" s="1">
        <v>9000.01</v>
      </c>
      <c r="X22" s="1">
        <v>0</v>
      </c>
      <c r="Y22" s="1">
        <v>0</v>
      </c>
      <c r="Z22" s="1"/>
      <c r="AB22" s="1">
        <v>9000.01</v>
      </c>
      <c r="AC22" s="1">
        <v>0</v>
      </c>
      <c r="AD22" s="1">
        <v>0</v>
      </c>
      <c r="AE22" s="1"/>
      <c r="AH22" s="1">
        <f t="shared" si="1"/>
        <v>0.90000100000000005</v>
      </c>
      <c r="AI22" s="1">
        <f t="shared" si="2"/>
        <v>0</v>
      </c>
      <c r="AJ22" s="1">
        <f t="shared" si="3"/>
        <v>2.9955650060753337E-2</v>
      </c>
      <c r="AK22" s="1">
        <f t="shared" si="4"/>
        <v>7.6263669501822591E-3</v>
      </c>
      <c r="AL22" s="1">
        <f t="shared" si="5"/>
        <v>6.9690157958687729E-4</v>
      </c>
      <c r="AM22" s="1">
        <f t="shared" si="6"/>
        <v>0</v>
      </c>
      <c r="AN22" s="1">
        <f t="shared" si="7"/>
        <v>0</v>
      </c>
      <c r="AO22" s="1">
        <f t="shared" si="8"/>
        <v>6.3798197650870789E-3</v>
      </c>
    </row>
    <row r="23" spans="1:41" x14ac:dyDescent="0.35">
      <c r="A23" s="1">
        <v>9500.01</v>
      </c>
      <c r="B23" s="1">
        <v>0</v>
      </c>
      <c r="C23" s="1">
        <v>0</v>
      </c>
      <c r="D23" s="1">
        <f t="shared" si="0"/>
        <v>0.95000099999999998</v>
      </c>
      <c r="E23" s="1"/>
      <c r="G23" s="1">
        <v>9500.01</v>
      </c>
      <c r="H23" s="1">
        <v>1972.3</v>
      </c>
      <c r="I23" s="1">
        <v>0</v>
      </c>
      <c r="J23" s="1"/>
      <c r="L23" s="1">
        <v>9500.01</v>
      </c>
      <c r="M23" s="1">
        <v>4248.7</v>
      </c>
      <c r="N23" s="1">
        <v>0</v>
      </c>
      <c r="O23" s="1"/>
      <c r="Q23" s="1">
        <v>9500.01</v>
      </c>
      <c r="R23" s="1">
        <v>57.356000000000002</v>
      </c>
      <c r="S23" s="1">
        <v>0</v>
      </c>
      <c r="T23" s="1"/>
      <c r="W23" s="1">
        <v>9500.01</v>
      </c>
      <c r="X23" s="1">
        <v>63.917999999999999</v>
      </c>
      <c r="Y23" s="1">
        <v>0</v>
      </c>
      <c r="Z23" s="1"/>
      <c r="AB23" s="1">
        <v>9500.01</v>
      </c>
      <c r="AC23" s="1">
        <v>0</v>
      </c>
      <c r="AD23" s="1">
        <v>0</v>
      </c>
      <c r="AE23" s="1"/>
      <c r="AH23" s="1">
        <f t="shared" si="1"/>
        <v>0.95000099999999998</v>
      </c>
      <c r="AI23" s="1">
        <f t="shared" si="2"/>
        <v>0</v>
      </c>
      <c r="AJ23" s="1">
        <f t="shared" si="3"/>
        <v>5.9911907654921015E-3</v>
      </c>
      <c r="AK23" s="1">
        <f t="shared" si="4"/>
        <v>1.290613608748481E-2</v>
      </c>
      <c r="AL23" s="1">
        <f t="shared" si="5"/>
        <v>1.7422843256379101E-4</v>
      </c>
      <c r="AM23" s="1">
        <f t="shared" si="6"/>
        <v>1.9416160388821384E-4</v>
      </c>
      <c r="AN23" s="1">
        <f t="shared" si="7"/>
        <v>0</v>
      </c>
      <c r="AO23" s="1">
        <f t="shared" si="8"/>
        <v>3.2109528149048198E-3</v>
      </c>
    </row>
    <row r="24" spans="1:41" x14ac:dyDescent="0.35">
      <c r="A24" s="1">
        <v>10000</v>
      </c>
      <c r="B24" s="1">
        <v>0</v>
      </c>
      <c r="C24" s="1">
        <v>0</v>
      </c>
      <c r="D24" s="1">
        <f t="shared" si="0"/>
        <v>1</v>
      </c>
      <c r="E24" s="1"/>
      <c r="G24" s="1">
        <v>10000</v>
      </c>
      <c r="H24" s="1">
        <v>85.751000000000005</v>
      </c>
      <c r="I24" s="1">
        <v>0</v>
      </c>
      <c r="J24" s="1"/>
      <c r="L24" s="1">
        <v>10000</v>
      </c>
      <c r="M24" s="1">
        <v>6798</v>
      </c>
      <c r="N24" s="1">
        <v>0</v>
      </c>
      <c r="O24" s="1"/>
      <c r="Q24" s="1">
        <v>10000</v>
      </c>
      <c r="R24" s="1">
        <v>172.07</v>
      </c>
      <c r="S24" s="1">
        <v>0</v>
      </c>
      <c r="T24" s="1"/>
      <c r="W24" s="1">
        <v>10000</v>
      </c>
      <c r="X24" s="1">
        <v>0</v>
      </c>
      <c r="Y24" s="1">
        <v>0</v>
      </c>
      <c r="Z24" s="1"/>
      <c r="AB24" s="1">
        <v>10000</v>
      </c>
      <c r="AC24" s="1">
        <v>0</v>
      </c>
      <c r="AD24" s="1">
        <v>0</v>
      </c>
      <c r="AE24" s="1"/>
      <c r="AH24" s="1">
        <f t="shared" si="1"/>
        <v>1</v>
      </c>
      <c r="AI24" s="1">
        <f t="shared" si="2"/>
        <v>0</v>
      </c>
      <c r="AJ24" s="1">
        <f t="shared" si="3"/>
        <v>2.6048298906439856E-4</v>
      </c>
      <c r="AK24" s="1">
        <f t="shared" si="4"/>
        <v>2.0650060753341432E-2</v>
      </c>
      <c r="AL24" s="1">
        <f t="shared" si="5"/>
        <v>5.2269137302551644E-4</v>
      </c>
      <c r="AM24" s="1">
        <f t="shared" si="6"/>
        <v>0</v>
      </c>
      <c r="AN24" s="1">
        <f t="shared" si="7"/>
        <v>0</v>
      </c>
      <c r="AO24" s="1">
        <f t="shared" si="8"/>
        <v>3.5722058525718913E-3</v>
      </c>
    </row>
    <row r="25" spans="1:41" x14ac:dyDescent="0.35">
      <c r="A25" s="1">
        <v>10500</v>
      </c>
      <c r="B25" s="1">
        <v>0</v>
      </c>
      <c r="C25" s="1">
        <v>0</v>
      </c>
      <c r="D25" s="1">
        <f t="shared" si="0"/>
        <v>1.05</v>
      </c>
      <c r="E25" s="1"/>
      <c r="G25" s="1">
        <v>10500</v>
      </c>
      <c r="H25" s="1">
        <v>0</v>
      </c>
      <c r="I25" s="1">
        <v>0</v>
      </c>
      <c r="J25" s="1"/>
      <c r="L25" s="1">
        <v>10500</v>
      </c>
      <c r="M25" s="1">
        <v>11472</v>
      </c>
      <c r="N25" s="1">
        <v>0</v>
      </c>
      <c r="O25" s="1"/>
      <c r="Q25" s="1">
        <v>10500</v>
      </c>
      <c r="R25" s="1">
        <v>57.356000000000002</v>
      </c>
      <c r="S25" s="1">
        <v>0</v>
      </c>
      <c r="T25" s="1"/>
      <c r="W25" s="1">
        <v>10500</v>
      </c>
      <c r="X25" s="1">
        <v>63.917999999999999</v>
      </c>
      <c r="Y25" s="1">
        <v>0</v>
      </c>
      <c r="Z25" s="1"/>
      <c r="AB25" s="1">
        <v>10500</v>
      </c>
      <c r="AC25" s="1">
        <v>0</v>
      </c>
      <c r="AD25" s="1">
        <v>0</v>
      </c>
      <c r="AE25" s="1"/>
      <c r="AH25" s="1">
        <f t="shared" si="1"/>
        <v>1.05</v>
      </c>
      <c r="AI25" s="1">
        <f t="shared" si="2"/>
        <v>0</v>
      </c>
      <c r="AJ25" s="1">
        <f t="shared" si="3"/>
        <v>0</v>
      </c>
      <c r="AK25" s="1">
        <f t="shared" si="4"/>
        <v>3.4848116646415551E-2</v>
      </c>
      <c r="AL25" s="1">
        <f t="shared" si="5"/>
        <v>1.7422843256379101E-4</v>
      </c>
      <c r="AM25" s="1">
        <f t="shared" si="6"/>
        <v>1.9416160388821384E-4</v>
      </c>
      <c r="AN25" s="1">
        <f t="shared" si="7"/>
        <v>0</v>
      </c>
      <c r="AO25" s="1">
        <f t="shared" si="8"/>
        <v>5.8694177804779262E-3</v>
      </c>
    </row>
    <row r="26" spans="1:41" x14ac:dyDescent="0.35">
      <c r="A26" s="1">
        <v>11000</v>
      </c>
      <c r="B26" s="1">
        <v>0</v>
      </c>
      <c r="C26" s="1">
        <v>0</v>
      </c>
      <c r="D26" s="1">
        <f t="shared" si="0"/>
        <v>1.1000000000000001</v>
      </c>
      <c r="E26" s="1"/>
      <c r="G26" s="1">
        <v>11000</v>
      </c>
      <c r="H26" s="1">
        <v>0</v>
      </c>
      <c r="I26" s="1">
        <v>0</v>
      </c>
      <c r="J26" s="1"/>
      <c r="L26" s="1">
        <v>11000</v>
      </c>
      <c r="M26" s="1">
        <v>19737</v>
      </c>
      <c r="N26" s="1">
        <v>0</v>
      </c>
      <c r="O26" s="1"/>
      <c r="Q26" s="1">
        <v>11000</v>
      </c>
      <c r="R26" s="1">
        <v>344.14</v>
      </c>
      <c r="S26" s="1">
        <v>0</v>
      </c>
      <c r="T26" s="1"/>
      <c r="W26" s="1">
        <v>11000</v>
      </c>
      <c r="X26" s="1">
        <v>63.917999999999999</v>
      </c>
      <c r="Y26" s="1">
        <v>0</v>
      </c>
      <c r="Z26" s="1"/>
      <c r="AB26" s="1">
        <v>11000</v>
      </c>
      <c r="AC26" s="1">
        <v>0</v>
      </c>
      <c r="AD26" s="1">
        <v>0</v>
      </c>
      <c r="AE26" s="1"/>
      <c r="AH26" s="1">
        <f t="shared" si="1"/>
        <v>1.1000000000000001</v>
      </c>
      <c r="AI26" s="1">
        <f t="shared" si="2"/>
        <v>0</v>
      </c>
      <c r="AJ26" s="1">
        <f t="shared" si="3"/>
        <v>0</v>
      </c>
      <c r="AK26" s="1">
        <f t="shared" si="4"/>
        <v>5.9954434993924666E-2</v>
      </c>
      <c r="AL26" s="1">
        <f t="shared" si="5"/>
        <v>1.0453827460510329E-3</v>
      </c>
      <c r="AM26" s="1">
        <f t="shared" si="6"/>
        <v>1.9416160388821384E-4</v>
      </c>
      <c r="AN26" s="1">
        <f t="shared" si="7"/>
        <v>0</v>
      </c>
      <c r="AO26" s="1">
        <f t="shared" si="8"/>
        <v>1.0198996557310653E-2</v>
      </c>
    </row>
    <row r="27" spans="1:41" x14ac:dyDescent="0.35">
      <c r="A27" s="1">
        <v>11500</v>
      </c>
      <c r="B27" s="1">
        <v>0</v>
      </c>
      <c r="C27" s="1">
        <v>0</v>
      </c>
      <c r="D27" s="1">
        <f t="shared" si="0"/>
        <v>1.1499999999999999</v>
      </c>
      <c r="E27" s="1"/>
      <c r="G27" s="1">
        <v>11500</v>
      </c>
      <c r="H27" s="1">
        <v>0</v>
      </c>
      <c r="I27" s="1">
        <v>0</v>
      </c>
      <c r="J27" s="1"/>
      <c r="L27" s="1">
        <v>11500</v>
      </c>
      <c r="M27" s="1">
        <v>30166</v>
      </c>
      <c r="N27" s="1">
        <v>0</v>
      </c>
      <c r="O27" s="1"/>
      <c r="Q27" s="1">
        <v>11500</v>
      </c>
      <c r="R27" s="1">
        <v>458.85</v>
      </c>
      <c r="S27" s="1">
        <v>0</v>
      </c>
      <c r="T27" s="1"/>
      <c r="W27" s="1">
        <v>11500</v>
      </c>
      <c r="X27" s="1">
        <v>63.917999999999999</v>
      </c>
      <c r="Y27" s="1">
        <v>0</v>
      </c>
      <c r="Z27" s="1"/>
      <c r="AB27" s="1">
        <v>11500</v>
      </c>
      <c r="AC27" s="1">
        <v>0</v>
      </c>
      <c r="AD27" s="1">
        <v>0</v>
      </c>
      <c r="AE27" s="1"/>
      <c r="AH27" s="1">
        <f t="shared" si="1"/>
        <v>1.1499999999999999</v>
      </c>
      <c r="AI27" s="1">
        <f t="shared" si="2"/>
        <v>0</v>
      </c>
      <c r="AJ27" s="1">
        <f t="shared" si="3"/>
        <v>0</v>
      </c>
      <c r="AK27" s="1">
        <f t="shared" si="4"/>
        <v>9.1634264884568647E-2</v>
      </c>
      <c r="AL27" s="1">
        <f t="shared" si="5"/>
        <v>1.3938335358444716E-3</v>
      </c>
      <c r="AM27" s="1">
        <f t="shared" si="6"/>
        <v>1.9416160388821384E-4</v>
      </c>
      <c r="AN27" s="1">
        <f t="shared" si="7"/>
        <v>0</v>
      </c>
      <c r="AO27" s="1">
        <f t="shared" si="8"/>
        <v>1.5537043337383557E-2</v>
      </c>
    </row>
    <row r="28" spans="1:41" x14ac:dyDescent="0.35">
      <c r="A28" s="1">
        <v>12000</v>
      </c>
      <c r="B28" s="1">
        <v>0</v>
      </c>
      <c r="C28" s="1">
        <v>0</v>
      </c>
      <c r="D28" s="1">
        <f t="shared" si="0"/>
        <v>1.2</v>
      </c>
      <c r="E28" s="1"/>
      <c r="G28" s="1">
        <v>12000</v>
      </c>
      <c r="H28" s="1">
        <v>0</v>
      </c>
      <c r="I28" s="1">
        <v>0</v>
      </c>
      <c r="J28" s="1"/>
      <c r="L28" s="1">
        <v>12000</v>
      </c>
      <c r="M28" s="1">
        <v>38007</v>
      </c>
      <c r="N28" s="1">
        <v>0</v>
      </c>
      <c r="O28" s="1"/>
      <c r="Q28" s="1">
        <v>12000</v>
      </c>
      <c r="R28" s="1">
        <v>802.98</v>
      </c>
      <c r="S28" s="1">
        <v>0</v>
      </c>
      <c r="T28" s="1"/>
      <c r="W28" s="1">
        <v>12000</v>
      </c>
      <c r="X28" s="1">
        <v>127.84</v>
      </c>
      <c r="Y28" s="1">
        <v>0</v>
      </c>
      <c r="Z28" s="1"/>
      <c r="AB28" s="1">
        <v>12000</v>
      </c>
      <c r="AC28" s="1">
        <v>30.12</v>
      </c>
      <c r="AD28" s="1">
        <v>0</v>
      </c>
      <c r="AE28" s="1"/>
      <c r="AH28" s="1">
        <f t="shared" si="1"/>
        <v>1.2</v>
      </c>
      <c r="AI28" s="1">
        <f t="shared" si="2"/>
        <v>0</v>
      </c>
      <c r="AJ28" s="1">
        <f t="shared" si="3"/>
        <v>0</v>
      </c>
      <c r="AK28" s="1">
        <f t="shared" si="4"/>
        <v>0.11545261239368164</v>
      </c>
      <c r="AL28" s="1">
        <f t="shared" si="5"/>
        <v>2.4391859052247875E-3</v>
      </c>
      <c r="AM28" s="1">
        <f t="shared" si="6"/>
        <v>3.8833535844471446E-4</v>
      </c>
      <c r="AN28" s="1">
        <f t="shared" si="7"/>
        <v>9.1494532199270956E-5</v>
      </c>
      <c r="AO28" s="1">
        <f t="shared" si="8"/>
        <v>1.9728604698258399E-2</v>
      </c>
    </row>
    <row r="29" spans="1:41" x14ac:dyDescent="0.35">
      <c r="A29" s="1">
        <v>12500</v>
      </c>
      <c r="B29" s="1">
        <v>0</v>
      </c>
      <c r="C29" s="1">
        <v>0</v>
      </c>
      <c r="D29" s="1">
        <f t="shared" si="0"/>
        <v>1.25</v>
      </c>
      <c r="E29" s="1"/>
      <c r="G29" s="1">
        <v>12500</v>
      </c>
      <c r="H29" s="1">
        <v>0</v>
      </c>
      <c r="I29" s="1">
        <v>0</v>
      </c>
      <c r="J29" s="1"/>
      <c r="L29" s="1">
        <v>12500</v>
      </c>
      <c r="M29" s="1">
        <v>43337</v>
      </c>
      <c r="N29" s="1">
        <v>0</v>
      </c>
      <c r="O29" s="1"/>
      <c r="Q29" s="1">
        <v>12500</v>
      </c>
      <c r="R29" s="1">
        <v>1261.8</v>
      </c>
      <c r="S29" s="1">
        <v>0</v>
      </c>
      <c r="T29" s="1"/>
      <c r="W29" s="1">
        <v>12500</v>
      </c>
      <c r="X29" s="1">
        <v>191.75</v>
      </c>
      <c r="Y29" s="1">
        <v>0</v>
      </c>
      <c r="Z29" s="1"/>
      <c r="AB29" s="1">
        <v>12500</v>
      </c>
      <c r="AC29" s="1">
        <v>0</v>
      </c>
      <c r="AD29" s="1">
        <v>0</v>
      </c>
      <c r="AE29" s="1"/>
      <c r="AH29" s="1">
        <f t="shared" si="1"/>
        <v>1.25</v>
      </c>
      <c r="AI29" s="1">
        <f t="shared" si="2"/>
        <v>0</v>
      </c>
      <c r="AJ29" s="1">
        <f t="shared" si="3"/>
        <v>0</v>
      </c>
      <c r="AK29" s="1">
        <f t="shared" si="4"/>
        <v>0.1316433778857837</v>
      </c>
      <c r="AL29" s="1">
        <f t="shared" si="5"/>
        <v>3.8329283110571078E-3</v>
      </c>
      <c r="AM29" s="1">
        <f t="shared" si="6"/>
        <v>5.8247266099635477E-4</v>
      </c>
      <c r="AN29" s="1">
        <f t="shared" si="7"/>
        <v>0</v>
      </c>
      <c r="AO29" s="1">
        <f t="shared" si="8"/>
        <v>2.267646314297286E-2</v>
      </c>
    </row>
    <row r="30" spans="1:41" x14ac:dyDescent="0.35">
      <c r="A30" s="1">
        <v>13000</v>
      </c>
      <c r="B30" s="1">
        <v>0</v>
      </c>
      <c r="C30" s="1">
        <v>0</v>
      </c>
      <c r="D30" s="1">
        <f t="shared" si="0"/>
        <v>1.3</v>
      </c>
      <c r="E30" s="1"/>
      <c r="G30" s="1">
        <v>13000</v>
      </c>
      <c r="H30" s="1">
        <v>0</v>
      </c>
      <c r="I30" s="1">
        <v>0</v>
      </c>
      <c r="J30" s="1"/>
      <c r="L30" s="1">
        <v>13000</v>
      </c>
      <c r="M30" s="1">
        <v>27424</v>
      </c>
      <c r="N30" s="1">
        <v>0</v>
      </c>
      <c r="O30" s="1"/>
      <c r="Q30" s="1">
        <v>13000</v>
      </c>
      <c r="R30" s="1">
        <v>1663.3</v>
      </c>
      <c r="S30" s="1">
        <v>0</v>
      </c>
      <c r="T30" s="1"/>
      <c r="W30" s="1">
        <v>13000</v>
      </c>
      <c r="X30" s="1">
        <v>191.75</v>
      </c>
      <c r="Y30" s="1">
        <v>0</v>
      </c>
      <c r="Z30" s="1"/>
      <c r="AB30" s="1">
        <v>13000</v>
      </c>
      <c r="AC30" s="1">
        <v>30.12</v>
      </c>
      <c r="AD30" s="1">
        <v>0</v>
      </c>
      <c r="AE30" s="1"/>
      <c r="AH30" s="1">
        <f t="shared" si="1"/>
        <v>1.3</v>
      </c>
      <c r="AI30" s="1">
        <f t="shared" si="2"/>
        <v>0</v>
      </c>
      <c r="AJ30" s="1">
        <f t="shared" si="3"/>
        <v>0</v>
      </c>
      <c r="AK30" s="1">
        <f t="shared" si="4"/>
        <v>8.3304981773997561E-2</v>
      </c>
      <c r="AL30" s="1">
        <f t="shared" si="5"/>
        <v>5.052551640340219E-3</v>
      </c>
      <c r="AM30" s="1">
        <f t="shared" si="6"/>
        <v>5.8247266099635477E-4</v>
      </c>
      <c r="AN30" s="1">
        <f t="shared" si="7"/>
        <v>9.1494532199270956E-5</v>
      </c>
      <c r="AO30" s="1">
        <f t="shared" si="8"/>
        <v>1.48385834345889E-2</v>
      </c>
    </row>
    <row r="31" spans="1:41" x14ac:dyDescent="0.35">
      <c r="A31" s="1">
        <v>13500</v>
      </c>
      <c r="B31" s="1">
        <v>0</v>
      </c>
      <c r="C31" s="1">
        <v>0</v>
      </c>
      <c r="D31" s="1">
        <f t="shared" si="0"/>
        <v>1.35</v>
      </c>
      <c r="E31" s="1"/>
      <c r="G31" s="1">
        <v>13500</v>
      </c>
      <c r="H31" s="1">
        <v>0</v>
      </c>
      <c r="I31" s="1">
        <v>0</v>
      </c>
      <c r="J31" s="1"/>
      <c r="L31" s="1">
        <v>13500</v>
      </c>
      <c r="M31" s="1">
        <v>9888</v>
      </c>
      <c r="N31" s="1">
        <v>0</v>
      </c>
      <c r="O31" s="1"/>
      <c r="Q31" s="1">
        <v>13500</v>
      </c>
      <c r="R31" s="1">
        <v>3269.3</v>
      </c>
      <c r="S31" s="1">
        <v>0</v>
      </c>
      <c r="T31" s="1"/>
      <c r="W31" s="1">
        <v>13500</v>
      </c>
      <c r="X31" s="1">
        <v>127.84</v>
      </c>
      <c r="Y31" s="1">
        <v>0</v>
      </c>
      <c r="Z31" s="1"/>
      <c r="AB31" s="1">
        <v>13500</v>
      </c>
      <c r="AC31" s="1">
        <v>0</v>
      </c>
      <c r="AD31" s="1">
        <v>0</v>
      </c>
      <c r="AE31" s="1"/>
      <c r="AH31" s="1">
        <f t="shared" si="1"/>
        <v>1.35</v>
      </c>
      <c r="AI31" s="1">
        <f t="shared" si="2"/>
        <v>0</v>
      </c>
      <c r="AJ31" s="1">
        <f t="shared" si="3"/>
        <v>0</v>
      </c>
      <c r="AK31" s="1">
        <f t="shared" si="4"/>
        <v>3.0036452004860267E-2</v>
      </c>
      <c r="AL31" s="1">
        <f t="shared" si="5"/>
        <v>9.9310449574726602E-3</v>
      </c>
      <c r="AM31" s="1">
        <f t="shared" si="6"/>
        <v>3.8833535844471446E-4</v>
      </c>
      <c r="AN31" s="1">
        <f t="shared" si="7"/>
        <v>0</v>
      </c>
      <c r="AO31" s="1">
        <f t="shared" si="8"/>
        <v>6.72597205346294E-3</v>
      </c>
    </row>
    <row r="32" spans="1:41" x14ac:dyDescent="0.35">
      <c r="A32" s="1">
        <v>14000</v>
      </c>
      <c r="B32" s="1">
        <v>0</v>
      </c>
      <c r="C32" s="1">
        <v>0</v>
      </c>
      <c r="D32" s="1">
        <f t="shared" si="0"/>
        <v>1.4</v>
      </c>
      <c r="E32" s="1"/>
      <c r="G32" s="1">
        <v>14000</v>
      </c>
      <c r="H32" s="1">
        <v>0</v>
      </c>
      <c r="I32" s="1">
        <v>0</v>
      </c>
      <c r="J32" s="1"/>
      <c r="L32" s="1">
        <v>14000</v>
      </c>
      <c r="M32" s="1">
        <v>2201.6</v>
      </c>
      <c r="N32" s="1">
        <v>0</v>
      </c>
      <c r="O32" s="1"/>
      <c r="Q32" s="1">
        <v>14000</v>
      </c>
      <c r="R32" s="1">
        <v>5104.7</v>
      </c>
      <c r="S32" s="1">
        <v>0</v>
      </c>
      <c r="T32" s="1"/>
      <c r="W32" s="1">
        <v>14000</v>
      </c>
      <c r="X32" s="1">
        <v>191.75</v>
      </c>
      <c r="Y32" s="1">
        <v>0</v>
      </c>
      <c r="Z32" s="1"/>
      <c r="AB32" s="1">
        <v>14000</v>
      </c>
      <c r="AC32" s="1">
        <v>0</v>
      </c>
      <c r="AD32" s="1">
        <v>0</v>
      </c>
      <c r="AE32" s="1"/>
      <c r="AH32" s="1">
        <f t="shared" si="1"/>
        <v>1.4</v>
      </c>
      <c r="AI32" s="1">
        <f t="shared" si="2"/>
        <v>0</v>
      </c>
      <c r="AJ32" s="1">
        <f t="shared" si="3"/>
        <v>0</v>
      </c>
      <c r="AK32" s="1">
        <f t="shared" si="4"/>
        <v>6.6877278250303757E-3</v>
      </c>
      <c r="AL32" s="1">
        <f t="shared" si="5"/>
        <v>1.5506379100850546E-2</v>
      </c>
      <c r="AM32" s="1">
        <f t="shared" si="6"/>
        <v>5.8247266099635477E-4</v>
      </c>
      <c r="AN32" s="1">
        <f t="shared" si="7"/>
        <v>0</v>
      </c>
      <c r="AO32" s="1">
        <f t="shared" si="8"/>
        <v>3.7960965978128796E-3</v>
      </c>
    </row>
    <row r="33" spans="1:41" x14ac:dyDescent="0.35">
      <c r="A33" s="1">
        <v>14500</v>
      </c>
      <c r="B33" s="1">
        <v>0</v>
      </c>
      <c r="C33" s="1">
        <v>0</v>
      </c>
      <c r="D33" s="1">
        <f t="shared" si="0"/>
        <v>1.45</v>
      </c>
      <c r="E33" s="1"/>
      <c r="G33" s="1">
        <v>14500</v>
      </c>
      <c r="H33" s="1">
        <v>0</v>
      </c>
      <c r="I33" s="1">
        <v>0</v>
      </c>
      <c r="J33" s="1"/>
      <c r="L33" s="1">
        <v>14500</v>
      </c>
      <c r="M33" s="1">
        <v>115.87</v>
      </c>
      <c r="N33" s="1">
        <v>0</v>
      </c>
      <c r="O33" s="1"/>
      <c r="Q33" s="1">
        <v>14500</v>
      </c>
      <c r="R33" s="1">
        <v>8316.6</v>
      </c>
      <c r="S33" s="1">
        <v>0</v>
      </c>
      <c r="T33" s="1"/>
      <c r="W33" s="1">
        <v>14500</v>
      </c>
      <c r="X33" s="1">
        <v>383.51</v>
      </c>
      <c r="Y33" s="1">
        <v>0</v>
      </c>
      <c r="Z33" s="1"/>
      <c r="AB33" s="1">
        <v>14500</v>
      </c>
      <c r="AC33" s="1">
        <v>0</v>
      </c>
      <c r="AD33" s="1">
        <v>0</v>
      </c>
      <c r="AE33" s="1"/>
      <c r="AH33" s="1">
        <f t="shared" si="1"/>
        <v>1.45</v>
      </c>
      <c r="AI33" s="1">
        <f t="shared" si="2"/>
        <v>0</v>
      </c>
      <c r="AJ33" s="1">
        <f t="shared" si="3"/>
        <v>0</v>
      </c>
      <c r="AK33" s="1">
        <f t="shared" si="4"/>
        <v>3.5197448359659779E-4</v>
      </c>
      <c r="AL33" s="1">
        <f t="shared" si="5"/>
        <v>2.5263061968408263E-2</v>
      </c>
      <c r="AM33" s="1">
        <f t="shared" si="6"/>
        <v>1.1649756986634265E-3</v>
      </c>
      <c r="AN33" s="1">
        <f t="shared" si="7"/>
        <v>0</v>
      </c>
      <c r="AO33" s="1">
        <f t="shared" si="8"/>
        <v>4.4633353584447146E-3</v>
      </c>
    </row>
    <row r="34" spans="1:41" x14ac:dyDescent="0.35">
      <c r="A34" s="1">
        <v>15000</v>
      </c>
      <c r="B34" s="1">
        <v>0</v>
      </c>
      <c r="C34" s="1">
        <v>0</v>
      </c>
      <c r="D34" s="1">
        <f t="shared" si="0"/>
        <v>1.5</v>
      </c>
      <c r="E34" s="1"/>
      <c r="G34" s="1">
        <v>15000</v>
      </c>
      <c r="H34" s="1">
        <v>0</v>
      </c>
      <c r="I34" s="1">
        <v>0</v>
      </c>
      <c r="J34" s="1"/>
      <c r="L34" s="1">
        <v>15000</v>
      </c>
      <c r="M34" s="1">
        <v>38.625</v>
      </c>
      <c r="N34" s="1">
        <v>0</v>
      </c>
      <c r="O34" s="1"/>
      <c r="Q34" s="1">
        <v>15000</v>
      </c>
      <c r="R34" s="1">
        <v>13765</v>
      </c>
      <c r="S34" s="1">
        <v>0</v>
      </c>
      <c r="T34" s="1"/>
      <c r="W34" s="1">
        <v>15000</v>
      </c>
      <c r="X34" s="1">
        <v>191.75</v>
      </c>
      <c r="Y34" s="1">
        <v>0</v>
      </c>
      <c r="Z34" s="1"/>
      <c r="AB34" s="1">
        <v>15000</v>
      </c>
      <c r="AC34" s="1">
        <v>0</v>
      </c>
      <c r="AD34" s="1">
        <v>0</v>
      </c>
      <c r="AE34" s="1"/>
      <c r="AH34" s="1">
        <f t="shared" si="1"/>
        <v>1.5</v>
      </c>
      <c r="AI34" s="1">
        <f t="shared" si="2"/>
        <v>0</v>
      </c>
      <c r="AJ34" s="1">
        <f t="shared" si="3"/>
        <v>0</v>
      </c>
      <c r="AK34" s="1">
        <f t="shared" si="4"/>
        <v>1.1732989064398542E-4</v>
      </c>
      <c r="AL34" s="1">
        <f t="shared" si="5"/>
        <v>4.18134872417983E-2</v>
      </c>
      <c r="AM34" s="1">
        <f t="shared" si="6"/>
        <v>5.8247266099635477E-4</v>
      </c>
      <c r="AN34" s="1">
        <f t="shared" si="7"/>
        <v>0</v>
      </c>
      <c r="AO34" s="1">
        <f t="shared" si="8"/>
        <v>7.0855482989064409E-3</v>
      </c>
    </row>
    <row r="35" spans="1:41" x14ac:dyDescent="0.35">
      <c r="A35" s="1">
        <v>15500</v>
      </c>
      <c r="B35" s="1">
        <v>0</v>
      </c>
      <c r="C35" s="1">
        <v>0</v>
      </c>
      <c r="D35" s="1">
        <f t="shared" si="0"/>
        <v>1.55</v>
      </c>
      <c r="E35" s="1"/>
      <c r="G35" s="1">
        <v>15500</v>
      </c>
      <c r="H35" s="1">
        <v>0</v>
      </c>
      <c r="I35" s="1">
        <v>0</v>
      </c>
      <c r="J35" s="1"/>
      <c r="L35" s="1">
        <v>15500</v>
      </c>
      <c r="M35" s="1">
        <v>0</v>
      </c>
      <c r="N35" s="1">
        <v>0</v>
      </c>
      <c r="O35" s="1"/>
      <c r="Q35" s="1">
        <v>15500</v>
      </c>
      <c r="R35" s="1">
        <v>21566</v>
      </c>
      <c r="S35" s="1">
        <v>0</v>
      </c>
      <c r="T35" s="1"/>
      <c r="W35" s="1">
        <v>15500</v>
      </c>
      <c r="X35" s="1">
        <v>511.35</v>
      </c>
      <c r="Y35" s="1">
        <v>0</v>
      </c>
      <c r="Z35" s="1"/>
      <c r="AB35" s="1">
        <v>15500</v>
      </c>
      <c r="AC35" s="1">
        <v>0</v>
      </c>
      <c r="AD35" s="1">
        <v>0</v>
      </c>
      <c r="AE35" s="1"/>
      <c r="AH35" s="1">
        <f t="shared" si="1"/>
        <v>1.55</v>
      </c>
      <c r="AI35" s="1">
        <f t="shared" si="2"/>
        <v>0</v>
      </c>
      <c r="AJ35" s="1">
        <f t="shared" si="3"/>
        <v>0</v>
      </c>
      <c r="AK35" s="1">
        <f t="shared" si="4"/>
        <v>0</v>
      </c>
      <c r="AL35" s="1">
        <f t="shared" si="5"/>
        <v>6.5510328068043744E-2</v>
      </c>
      <c r="AM35" s="1">
        <f t="shared" si="6"/>
        <v>1.5533110571081411E-3</v>
      </c>
      <c r="AN35" s="1">
        <f t="shared" si="7"/>
        <v>0</v>
      </c>
      <c r="AO35" s="1">
        <f t="shared" si="8"/>
        <v>1.1177273187525314E-2</v>
      </c>
    </row>
    <row r="36" spans="1:41" x14ac:dyDescent="0.35">
      <c r="A36" s="1">
        <v>16000</v>
      </c>
      <c r="B36" s="1">
        <v>0</v>
      </c>
      <c r="C36" s="1">
        <v>0</v>
      </c>
      <c r="D36" s="1">
        <f t="shared" si="0"/>
        <v>1.6</v>
      </c>
      <c r="E36" s="1"/>
      <c r="G36" s="1">
        <v>16000</v>
      </c>
      <c r="H36" s="1">
        <v>0</v>
      </c>
      <c r="I36" s="1">
        <v>0</v>
      </c>
      <c r="J36" s="1"/>
      <c r="L36" s="1">
        <v>16000</v>
      </c>
      <c r="M36" s="1">
        <v>0</v>
      </c>
      <c r="N36" s="1">
        <v>0</v>
      </c>
      <c r="O36" s="1"/>
      <c r="Q36" s="1">
        <v>16000</v>
      </c>
      <c r="R36" s="1">
        <v>31947</v>
      </c>
      <c r="S36" s="1">
        <v>0</v>
      </c>
      <c r="T36" s="1"/>
      <c r="W36" s="1">
        <v>16000</v>
      </c>
      <c r="X36" s="1">
        <v>767.02</v>
      </c>
      <c r="Y36" s="1">
        <v>0</v>
      </c>
      <c r="Z36" s="1"/>
      <c r="AB36" s="1">
        <v>16000</v>
      </c>
      <c r="AC36" s="1">
        <v>60.241</v>
      </c>
      <c r="AD36" s="1">
        <v>0</v>
      </c>
      <c r="AE36" s="1"/>
      <c r="AH36" s="1">
        <f t="shared" si="1"/>
        <v>1.6</v>
      </c>
      <c r="AI36" s="1">
        <f t="shared" si="2"/>
        <v>0</v>
      </c>
      <c r="AJ36" s="1">
        <f t="shared" si="3"/>
        <v>0</v>
      </c>
      <c r="AK36" s="1">
        <f t="shared" si="4"/>
        <v>0</v>
      </c>
      <c r="AL36" s="1">
        <f t="shared" si="5"/>
        <v>9.7044349939246655E-2</v>
      </c>
      <c r="AM36" s="1">
        <f t="shared" si="6"/>
        <v>2.3299513973268531E-3</v>
      </c>
      <c r="AN36" s="1">
        <f t="shared" si="7"/>
        <v>1.829921020656136E-4</v>
      </c>
      <c r="AO36" s="1">
        <f t="shared" si="8"/>
        <v>1.6592882239773187E-2</v>
      </c>
    </row>
    <row r="37" spans="1:41" x14ac:dyDescent="0.35">
      <c r="A37" s="1">
        <v>16500</v>
      </c>
      <c r="B37" s="1">
        <v>0</v>
      </c>
      <c r="C37" s="1">
        <v>0</v>
      </c>
      <c r="D37" s="1">
        <f t="shared" si="0"/>
        <v>1.65</v>
      </c>
      <c r="E37" s="1"/>
      <c r="G37" s="1">
        <v>16500</v>
      </c>
      <c r="H37" s="1">
        <v>0</v>
      </c>
      <c r="I37" s="1">
        <v>0</v>
      </c>
      <c r="J37" s="1"/>
      <c r="L37" s="1">
        <v>16500</v>
      </c>
      <c r="M37" s="1">
        <v>0</v>
      </c>
      <c r="N37" s="1">
        <v>0</v>
      </c>
      <c r="O37" s="1"/>
      <c r="Q37" s="1">
        <v>16500</v>
      </c>
      <c r="R37" s="1">
        <v>43935</v>
      </c>
      <c r="S37" s="1">
        <v>0</v>
      </c>
      <c r="T37" s="1"/>
      <c r="W37" s="1">
        <v>16500</v>
      </c>
      <c r="X37" s="1">
        <v>830.94</v>
      </c>
      <c r="Y37" s="1">
        <v>0</v>
      </c>
      <c r="Z37" s="1"/>
      <c r="AB37" s="1">
        <v>16500</v>
      </c>
      <c r="AC37" s="1">
        <v>60.241</v>
      </c>
      <c r="AD37" s="1">
        <v>0</v>
      </c>
      <c r="AE37" s="1"/>
      <c r="AH37" s="1">
        <f t="shared" si="1"/>
        <v>1.65</v>
      </c>
      <c r="AI37" s="1">
        <f t="shared" si="2"/>
        <v>0</v>
      </c>
      <c r="AJ37" s="1">
        <f t="shared" si="3"/>
        <v>0</v>
      </c>
      <c r="AK37" s="1">
        <f t="shared" si="4"/>
        <v>0</v>
      </c>
      <c r="AL37" s="1">
        <f t="shared" si="5"/>
        <v>0.1334599027946537</v>
      </c>
      <c r="AM37" s="1">
        <f t="shared" si="6"/>
        <v>2.5241190765492101E-3</v>
      </c>
      <c r="AN37" s="1">
        <f t="shared" si="7"/>
        <v>1.829921020656136E-4</v>
      </c>
      <c r="AO37" s="1">
        <f t="shared" si="8"/>
        <v>2.2694502328878086E-2</v>
      </c>
    </row>
    <row r="38" spans="1:41" x14ac:dyDescent="0.35">
      <c r="A38" s="1">
        <v>17000</v>
      </c>
      <c r="B38" s="1">
        <v>0</v>
      </c>
      <c r="C38" s="1">
        <v>0</v>
      </c>
      <c r="D38" s="1">
        <f t="shared" si="0"/>
        <v>1.7</v>
      </c>
      <c r="E38" s="1"/>
      <c r="G38" s="1">
        <v>17000</v>
      </c>
      <c r="H38" s="1">
        <v>0</v>
      </c>
      <c r="I38" s="1">
        <v>0</v>
      </c>
      <c r="J38" s="1"/>
      <c r="L38" s="1">
        <v>17000</v>
      </c>
      <c r="M38" s="1">
        <v>0</v>
      </c>
      <c r="N38" s="1">
        <v>0</v>
      </c>
      <c r="O38" s="1"/>
      <c r="Q38" s="1">
        <v>17000</v>
      </c>
      <c r="R38" s="1">
        <v>38486</v>
      </c>
      <c r="S38" s="1">
        <v>0</v>
      </c>
      <c r="T38" s="1"/>
      <c r="W38" s="1">
        <v>17000</v>
      </c>
      <c r="X38" s="1">
        <v>1342.3</v>
      </c>
      <c r="Y38" s="1">
        <v>0</v>
      </c>
      <c r="Z38" s="1"/>
      <c r="AB38" s="1">
        <v>17000</v>
      </c>
      <c r="AC38" s="1">
        <v>60.241</v>
      </c>
      <c r="AD38" s="1">
        <v>0</v>
      </c>
      <c r="AE38" s="1"/>
      <c r="AH38" s="1">
        <f t="shared" si="1"/>
        <v>1.7</v>
      </c>
      <c r="AI38" s="1">
        <f t="shared" si="2"/>
        <v>0</v>
      </c>
      <c r="AJ38" s="1">
        <f t="shared" si="3"/>
        <v>0</v>
      </c>
      <c r="AK38" s="1">
        <f t="shared" si="4"/>
        <v>0</v>
      </c>
      <c r="AL38" s="1">
        <f t="shared" si="5"/>
        <v>0.11690765492102063</v>
      </c>
      <c r="AM38" s="1">
        <f t="shared" si="6"/>
        <v>4.0774605103280678E-3</v>
      </c>
      <c r="AN38" s="1">
        <f t="shared" si="7"/>
        <v>1.829921020656136E-4</v>
      </c>
      <c r="AO38" s="1">
        <f t="shared" si="8"/>
        <v>2.0194684588902386E-2</v>
      </c>
    </row>
    <row r="39" spans="1:41" x14ac:dyDescent="0.35">
      <c r="A39" s="1">
        <v>17500</v>
      </c>
      <c r="B39" s="1">
        <v>0</v>
      </c>
      <c r="C39" s="1">
        <v>0</v>
      </c>
      <c r="D39" s="1">
        <f t="shared" si="0"/>
        <v>1.75</v>
      </c>
      <c r="E39" s="1"/>
      <c r="G39" s="1">
        <v>17500</v>
      </c>
      <c r="H39" s="1">
        <v>0</v>
      </c>
      <c r="I39" s="1">
        <v>0</v>
      </c>
      <c r="J39" s="1"/>
      <c r="L39" s="1">
        <v>17500</v>
      </c>
      <c r="M39" s="1">
        <v>0</v>
      </c>
      <c r="N39" s="1">
        <v>0</v>
      </c>
      <c r="O39" s="1"/>
      <c r="Q39" s="1">
        <v>17500</v>
      </c>
      <c r="R39" s="1">
        <v>20820</v>
      </c>
      <c r="S39" s="1">
        <v>0</v>
      </c>
      <c r="T39" s="1"/>
      <c r="W39" s="1">
        <v>17500</v>
      </c>
      <c r="X39" s="1">
        <v>2492.8000000000002</v>
      </c>
      <c r="Y39" s="1">
        <v>0</v>
      </c>
      <c r="Z39" s="1"/>
      <c r="AB39" s="1">
        <v>17500</v>
      </c>
      <c r="AC39" s="1">
        <v>120.48</v>
      </c>
      <c r="AD39" s="1">
        <v>0</v>
      </c>
      <c r="AE39" s="1"/>
      <c r="AH39" s="1">
        <f t="shared" si="1"/>
        <v>1.75</v>
      </c>
      <c r="AI39" s="1">
        <f t="shared" si="2"/>
        <v>0</v>
      </c>
      <c r="AJ39" s="1">
        <f t="shared" si="3"/>
        <v>0</v>
      </c>
      <c r="AK39" s="1">
        <f t="shared" si="4"/>
        <v>0</v>
      </c>
      <c r="AL39" s="1">
        <f t="shared" si="5"/>
        <v>6.324422843256379E-2</v>
      </c>
      <c r="AM39" s="1">
        <f t="shared" si="6"/>
        <v>7.5722964763061968E-3</v>
      </c>
      <c r="AN39" s="1">
        <f t="shared" si="7"/>
        <v>3.6597812879708382E-4</v>
      </c>
      <c r="AO39" s="1">
        <f t="shared" si="8"/>
        <v>1.1863750506277845E-2</v>
      </c>
    </row>
    <row r="40" spans="1:41" x14ac:dyDescent="0.35">
      <c r="A40" s="1">
        <v>18000</v>
      </c>
      <c r="B40" s="1">
        <v>0</v>
      </c>
      <c r="C40" s="1">
        <v>0</v>
      </c>
      <c r="D40" s="1">
        <f t="shared" si="0"/>
        <v>1.8</v>
      </c>
      <c r="E40" s="1"/>
      <c r="G40" s="1">
        <v>18000</v>
      </c>
      <c r="H40" s="1">
        <v>0</v>
      </c>
      <c r="I40" s="1">
        <v>0</v>
      </c>
      <c r="J40" s="1"/>
      <c r="L40" s="1">
        <v>18000</v>
      </c>
      <c r="M40" s="1">
        <v>0</v>
      </c>
      <c r="N40" s="1">
        <v>0</v>
      </c>
      <c r="O40" s="1"/>
      <c r="Q40" s="1">
        <v>18000</v>
      </c>
      <c r="R40" s="1">
        <v>6137.1</v>
      </c>
      <c r="S40" s="1">
        <v>0</v>
      </c>
      <c r="T40" s="1"/>
      <c r="W40" s="1">
        <v>18000</v>
      </c>
      <c r="X40" s="1">
        <v>2556.6999999999998</v>
      </c>
      <c r="Y40" s="1">
        <v>0</v>
      </c>
      <c r="Z40" s="1"/>
      <c r="AB40" s="1">
        <v>18000</v>
      </c>
      <c r="AC40" s="1">
        <v>150.6</v>
      </c>
      <c r="AD40" s="1">
        <v>0</v>
      </c>
      <c r="AE40" s="1"/>
      <c r="AH40" s="1">
        <f t="shared" si="1"/>
        <v>1.8</v>
      </c>
      <c r="AI40" s="1">
        <f t="shared" si="2"/>
        <v>0</v>
      </c>
      <c r="AJ40" s="1">
        <f t="shared" si="3"/>
        <v>0</v>
      </c>
      <c r="AK40" s="1">
        <f t="shared" si="4"/>
        <v>0</v>
      </c>
      <c r="AL40" s="1">
        <f t="shared" si="5"/>
        <v>1.8642466585662213E-2</v>
      </c>
      <c r="AM40" s="1">
        <f t="shared" si="6"/>
        <v>7.7664034021871194E-3</v>
      </c>
      <c r="AN40" s="1">
        <f t="shared" si="7"/>
        <v>4.5747266099635471E-4</v>
      </c>
      <c r="AO40" s="1">
        <f t="shared" si="8"/>
        <v>4.4777237748076142E-3</v>
      </c>
    </row>
    <row r="41" spans="1:41" x14ac:dyDescent="0.35">
      <c r="A41" s="1">
        <v>18500</v>
      </c>
      <c r="B41" s="1">
        <v>0</v>
      </c>
      <c r="C41" s="1">
        <v>0</v>
      </c>
      <c r="D41" s="1">
        <f t="shared" si="0"/>
        <v>1.85</v>
      </c>
      <c r="E41" s="1"/>
      <c r="G41" s="1">
        <v>18500</v>
      </c>
      <c r="H41" s="1">
        <v>0</v>
      </c>
      <c r="I41" s="1">
        <v>0</v>
      </c>
      <c r="J41" s="1"/>
      <c r="L41" s="1">
        <v>18500</v>
      </c>
      <c r="M41" s="1">
        <v>0</v>
      </c>
      <c r="N41" s="1">
        <v>0</v>
      </c>
      <c r="O41" s="1"/>
      <c r="Q41" s="1">
        <v>18500</v>
      </c>
      <c r="R41" s="1">
        <v>917.69</v>
      </c>
      <c r="S41" s="1">
        <v>0</v>
      </c>
      <c r="T41" s="1"/>
      <c r="W41" s="1">
        <v>18500</v>
      </c>
      <c r="X41" s="1">
        <v>4602.1000000000004</v>
      </c>
      <c r="Y41" s="1">
        <v>0</v>
      </c>
      <c r="Z41" s="1"/>
      <c r="AB41" s="1">
        <v>18500</v>
      </c>
      <c r="AC41" s="1">
        <v>180.72</v>
      </c>
      <c r="AD41" s="1">
        <v>0</v>
      </c>
      <c r="AE41" s="1"/>
      <c r="AH41" s="1">
        <f t="shared" si="1"/>
        <v>1.85</v>
      </c>
      <c r="AI41" s="1">
        <f t="shared" si="2"/>
        <v>0</v>
      </c>
      <c r="AJ41" s="1">
        <f t="shared" si="3"/>
        <v>0</v>
      </c>
      <c r="AK41" s="1">
        <f t="shared" si="4"/>
        <v>0</v>
      </c>
      <c r="AL41" s="1">
        <f t="shared" si="5"/>
        <v>2.7876366950182262E-3</v>
      </c>
      <c r="AM41" s="1">
        <f t="shared" si="6"/>
        <v>1.3979647630619685E-2</v>
      </c>
      <c r="AN41" s="1">
        <f t="shared" si="7"/>
        <v>5.4896719319562576E-4</v>
      </c>
      <c r="AO41" s="1">
        <f t="shared" si="8"/>
        <v>2.8860419198055895E-3</v>
      </c>
    </row>
    <row r="42" spans="1:41" x14ac:dyDescent="0.35">
      <c r="A42" s="1">
        <v>19000</v>
      </c>
      <c r="B42" s="1">
        <v>0</v>
      </c>
      <c r="C42" s="1">
        <v>0</v>
      </c>
      <c r="D42" s="1">
        <f t="shared" si="0"/>
        <v>1.9</v>
      </c>
      <c r="E42" s="1"/>
      <c r="G42" s="1">
        <v>19000</v>
      </c>
      <c r="H42" s="1">
        <v>0</v>
      </c>
      <c r="I42" s="1">
        <v>0</v>
      </c>
      <c r="J42" s="1"/>
      <c r="L42" s="1">
        <v>19000</v>
      </c>
      <c r="M42" s="1">
        <v>0</v>
      </c>
      <c r="N42" s="1">
        <v>0</v>
      </c>
      <c r="O42" s="1"/>
      <c r="Q42" s="1">
        <v>19000</v>
      </c>
      <c r="R42" s="1">
        <v>114.71</v>
      </c>
      <c r="S42" s="1">
        <v>0</v>
      </c>
      <c r="T42" s="1"/>
      <c r="W42" s="1">
        <v>19000</v>
      </c>
      <c r="X42" s="1">
        <v>9268.1</v>
      </c>
      <c r="Y42" s="1">
        <v>0</v>
      </c>
      <c r="Z42" s="1"/>
      <c r="AB42" s="1">
        <v>19000</v>
      </c>
      <c r="AC42" s="1">
        <v>150.6</v>
      </c>
      <c r="AD42" s="1">
        <v>0</v>
      </c>
      <c r="AE42" s="1"/>
      <c r="AH42" s="1">
        <f t="shared" si="1"/>
        <v>1.9</v>
      </c>
      <c r="AI42" s="1">
        <f t="shared" si="2"/>
        <v>0</v>
      </c>
      <c r="AJ42" s="1">
        <f t="shared" si="3"/>
        <v>0</v>
      </c>
      <c r="AK42" s="1">
        <f t="shared" si="4"/>
        <v>0</v>
      </c>
      <c r="AL42" s="1">
        <f t="shared" si="5"/>
        <v>3.4845078979343864E-4</v>
      </c>
      <c r="AM42" s="1">
        <f t="shared" si="6"/>
        <v>2.8153402187120292E-2</v>
      </c>
      <c r="AN42" s="1">
        <f t="shared" si="7"/>
        <v>4.5747266099635471E-4</v>
      </c>
      <c r="AO42" s="1">
        <f t="shared" si="8"/>
        <v>4.8265542729850142E-3</v>
      </c>
    </row>
    <row r="43" spans="1:41" x14ac:dyDescent="0.35">
      <c r="A43" s="1">
        <v>19500</v>
      </c>
      <c r="B43" s="1">
        <v>0</v>
      </c>
      <c r="C43" s="1">
        <v>0</v>
      </c>
      <c r="D43" s="1">
        <f t="shared" si="0"/>
        <v>1.95</v>
      </c>
      <c r="E43" s="1"/>
      <c r="G43" s="1">
        <v>19500</v>
      </c>
      <c r="H43" s="1">
        <v>0</v>
      </c>
      <c r="I43" s="1">
        <v>0</v>
      </c>
      <c r="J43" s="1"/>
      <c r="L43" s="1">
        <v>19500</v>
      </c>
      <c r="M43" s="1">
        <v>0</v>
      </c>
      <c r="N43" s="1">
        <v>0</v>
      </c>
      <c r="O43" s="1"/>
      <c r="Q43" s="1">
        <v>19500</v>
      </c>
      <c r="R43" s="1">
        <v>0</v>
      </c>
      <c r="S43" s="1">
        <v>0</v>
      </c>
      <c r="T43" s="1"/>
      <c r="W43" s="1">
        <v>19500</v>
      </c>
      <c r="X43" s="1">
        <v>14701</v>
      </c>
      <c r="Y43" s="1">
        <v>0</v>
      </c>
      <c r="Z43" s="1"/>
      <c r="AB43" s="1">
        <v>19500</v>
      </c>
      <c r="AC43" s="1">
        <v>240.96</v>
      </c>
      <c r="AD43" s="1">
        <v>0</v>
      </c>
      <c r="AE43" s="1"/>
      <c r="AH43" s="1">
        <f t="shared" si="1"/>
        <v>1.95</v>
      </c>
      <c r="AI43" s="1">
        <f t="shared" si="2"/>
        <v>0</v>
      </c>
      <c r="AJ43" s="1">
        <f t="shared" si="3"/>
        <v>0</v>
      </c>
      <c r="AK43" s="1">
        <f t="shared" si="4"/>
        <v>0</v>
      </c>
      <c r="AL43" s="1">
        <f t="shared" si="5"/>
        <v>0</v>
      </c>
      <c r="AM43" s="1">
        <f t="shared" si="6"/>
        <v>4.465674362089915E-2</v>
      </c>
      <c r="AN43" s="1">
        <f t="shared" si="7"/>
        <v>7.3195625759416765E-4</v>
      </c>
      <c r="AO43" s="1">
        <f t="shared" si="8"/>
        <v>7.5647833130822193E-3</v>
      </c>
    </row>
    <row r="44" spans="1:41" x14ac:dyDescent="0.35">
      <c r="A44" s="1">
        <v>20000</v>
      </c>
      <c r="B44" s="1">
        <v>0</v>
      </c>
      <c r="C44" s="1">
        <v>0</v>
      </c>
      <c r="D44" s="1">
        <f t="shared" si="0"/>
        <v>2</v>
      </c>
      <c r="E44" s="1"/>
      <c r="G44" s="1">
        <v>20000</v>
      </c>
      <c r="H44" s="1">
        <v>0</v>
      </c>
      <c r="I44" s="1">
        <v>0</v>
      </c>
      <c r="J44" s="1"/>
      <c r="L44" s="1">
        <v>20000</v>
      </c>
      <c r="M44" s="1">
        <v>0</v>
      </c>
      <c r="N44" s="1">
        <v>0</v>
      </c>
      <c r="O44" s="1"/>
      <c r="Q44" s="1">
        <v>20000</v>
      </c>
      <c r="R44" s="1">
        <v>0</v>
      </c>
      <c r="S44" s="1">
        <v>0</v>
      </c>
      <c r="T44" s="1"/>
      <c r="W44" s="1">
        <v>20000</v>
      </c>
      <c r="X44" s="1">
        <v>24033</v>
      </c>
      <c r="Y44" s="1">
        <v>0</v>
      </c>
      <c r="Z44" s="1"/>
      <c r="AB44" s="1">
        <v>20000</v>
      </c>
      <c r="AC44" s="1">
        <v>421.69</v>
      </c>
      <c r="AD44" s="1">
        <v>0</v>
      </c>
      <c r="AE44" s="1"/>
      <c r="AH44" s="1">
        <f t="shared" si="1"/>
        <v>2</v>
      </c>
      <c r="AI44" s="1">
        <f t="shared" si="2"/>
        <v>0</v>
      </c>
      <c r="AJ44" s="1">
        <f t="shared" si="3"/>
        <v>0</v>
      </c>
      <c r="AK44" s="1">
        <f t="shared" si="4"/>
        <v>0</v>
      </c>
      <c r="AL44" s="1">
        <f t="shared" si="5"/>
        <v>0</v>
      </c>
      <c r="AM44" s="1">
        <f t="shared" si="6"/>
        <v>7.3004252733900363E-2</v>
      </c>
      <c r="AN44" s="1">
        <f t="shared" si="7"/>
        <v>1.2809538274605103E-3</v>
      </c>
      <c r="AO44" s="1">
        <f t="shared" si="8"/>
        <v>1.2380867760226811E-2</v>
      </c>
    </row>
    <row r="45" spans="1:41" x14ac:dyDescent="0.35">
      <c r="A45" s="1">
        <v>20500</v>
      </c>
      <c r="B45" s="1">
        <v>0</v>
      </c>
      <c r="C45" s="1">
        <v>0</v>
      </c>
      <c r="D45" s="1">
        <f t="shared" si="0"/>
        <v>2.0499999999999998</v>
      </c>
      <c r="E45" s="1"/>
      <c r="G45" s="1">
        <v>20500</v>
      </c>
      <c r="H45" s="1">
        <v>0</v>
      </c>
      <c r="I45" s="1">
        <v>0</v>
      </c>
      <c r="J45" s="1"/>
      <c r="L45" s="1">
        <v>20500</v>
      </c>
      <c r="M45" s="1">
        <v>0</v>
      </c>
      <c r="N45" s="1">
        <v>0</v>
      </c>
      <c r="O45" s="1"/>
      <c r="Q45" s="1">
        <v>20500</v>
      </c>
      <c r="R45" s="1">
        <v>0</v>
      </c>
      <c r="S45" s="1">
        <v>0</v>
      </c>
      <c r="T45" s="1"/>
      <c r="W45" s="1">
        <v>20500</v>
      </c>
      <c r="X45" s="1">
        <v>34068</v>
      </c>
      <c r="Y45" s="1">
        <v>0</v>
      </c>
      <c r="Z45" s="1"/>
      <c r="AB45" s="1">
        <v>20500</v>
      </c>
      <c r="AC45" s="1">
        <v>572.29</v>
      </c>
      <c r="AD45" s="1">
        <v>0</v>
      </c>
      <c r="AE45" s="1"/>
      <c r="AH45" s="1">
        <f t="shared" si="1"/>
        <v>2.0499999999999998</v>
      </c>
      <c r="AI45" s="1">
        <f t="shared" si="2"/>
        <v>0</v>
      </c>
      <c r="AJ45" s="1">
        <f t="shared" si="3"/>
        <v>0</v>
      </c>
      <c r="AK45" s="1">
        <f t="shared" si="4"/>
        <v>0</v>
      </c>
      <c r="AL45" s="1">
        <f t="shared" si="5"/>
        <v>0</v>
      </c>
      <c r="AM45" s="1">
        <f t="shared" si="6"/>
        <v>0.10348724179829889</v>
      </c>
      <c r="AN45" s="1">
        <f t="shared" si="7"/>
        <v>1.738426488456865E-3</v>
      </c>
      <c r="AO45" s="1">
        <f t="shared" si="8"/>
        <v>1.7537611381125959E-2</v>
      </c>
    </row>
    <row r="46" spans="1:41" x14ac:dyDescent="0.35">
      <c r="A46" s="1">
        <v>21000</v>
      </c>
      <c r="B46" s="1">
        <v>0</v>
      </c>
      <c r="C46" s="1">
        <v>0</v>
      </c>
      <c r="D46" s="1">
        <f t="shared" si="0"/>
        <v>2.1</v>
      </c>
      <c r="E46" s="1"/>
      <c r="G46" s="1">
        <v>21000</v>
      </c>
      <c r="H46" s="1">
        <v>0</v>
      </c>
      <c r="I46" s="1">
        <v>0</v>
      </c>
      <c r="J46" s="1"/>
      <c r="L46" s="1">
        <v>21000</v>
      </c>
      <c r="M46" s="1">
        <v>0</v>
      </c>
      <c r="N46" s="1">
        <v>0</v>
      </c>
      <c r="O46" s="1"/>
      <c r="Q46" s="1">
        <v>21000</v>
      </c>
      <c r="R46" s="1">
        <v>0</v>
      </c>
      <c r="S46" s="1">
        <v>0</v>
      </c>
      <c r="T46" s="1"/>
      <c r="W46" s="1">
        <v>21000</v>
      </c>
      <c r="X46" s="1">
        <v>42889</v>
      </c>
      <c r="Y46" s="1">
        <v>0</v>
      </c>
      <c r="Z46" s="1"/>
      <c r="AB46" s="1">
        <v>21000</v>
      </c>
      <c r="AC46" s="1">
        <v>572.29</v>
      </c>
      <c r="AD46" s="1">
        <v>0</v>
      </c>
      <c r="AE46" s="1"/>
      <c r="AH46" s="1">
        <f t="shared" si="1"/>
        <v>2.1</v>
      </c>
      <c r="AI46" s="1">
        <f t="shared" si="2"/>
        <v>0</v>
      </c>
      <c r="AJ46" s="1">
        <f t="shared" si="3"/>
        <v>0</v>
      </c>
      <c r="AK46" s="1">
        <f t="shared" si="4"/>
        <v>0</v>
      </c>
      <c r="AL46" s="1">
        <f t="shared" si="5"/>
        <v>0</v>
      </c>
      <c r="AM46" s="1">
        <f t="shared" si="6"/>
        <v>0.13028250303766706</v>
      </c>
      <c r="AN46" s="1">
        <f t="shared" si="7"/>
        <v>1.738426488456865E-3</v>
      </c>
      <c r="AO46" s="1">
        <f t="shared" si="8"/>
        <v>2.2003488254353987E-2</v>
      </c>
    </row>
    <row r="47" spans="1:41" x14ac:dyDescent="0.35">
      <c r="A47" s="1">
        <v>21500</v>
      </c>
      <c r="B47" s="1">
        <v>0</v>
      </c>
      <c r="C47" s="1">
        <v>0</v>
      </c>
      <c r="D47" s="1">
        <f t="shared" si="0"/>
        <v>2.15</v>
      </c>
      <c r="E47" s="1"/>
      <c r="G47" s="1">
        <v>21500</v>
      </c>
      <c r="H47" s="1">
        <v>0</v>
      </c>
      <c r="I47" s="1">
        <v>0</v>
      </c>
      <c r="J47" s="1"/>
      <c r="L47" s="1">
        <v>21500</v>
      </c>
      <c r="M47" s="1">
        <v>0</v>
      </c>
      <c r="N47" s="1">
        <v>0</v>
      </c>
      <c r="O47" s="1"/>
      <c r="Q47" s="1">
        <v>21500</v>
      </c>
      <c r="R47" s="1">
        <v>0</v>
      </c>
      <c r="S47" s="1">
        <v>0</v>
      </c>
      <c r="T47" s="1"/>
      <c r="W47" s="1">
        <v>21500</v>
      </c>
      <c r="X47" s="1">
        <v>33877</v>
      </c>
      <c r="Y47" s="1">
        <v>0</v>
      </c>
      <c r="Z47" s="1"/>
      <c r="AB47" s="1">
        <v>21500</v>
      </c>
      <c r="AC47" s="1">
        <v>1596.4</v>
      </c>
      <c r="AD47" s="1">
        <v>0</v>
      </c>
      <c r="AE47" s="1"/>
      <c r="AH47" s="1">
        <f t="shared" si="1"/>
        <v>2.15</v>
      </c>
      <c r="AI47" s="1">
        <f t="shared" si="2"/>
        <v>0</v>
      </c>
      <c r="AJ47" s="1">
        <f t="shared" si="3"/>
        <v>0</v>
      </c>
      <c r="AK47" s="1">
        <f t="shared" si="4"/>
        <v>0</v>
      </c>
      <c r="AL47" s="1">
        <f t="shared" si="5"/>
        <v>0</v>
      </c>
      <c r="AM47" s="1">
        <f t="shared" si="6"/>
        <v>0.10290704738760631</v>
      </c>
      <c r="AN47" s="1">
        <f t="shared" si="7"/>
        <v>4.8493317132442286E-3</v>
      </c>
      <c r="AO47" s="1">
        <f t="shared" si="8"/>
        <v>1.7959396516808421E-2</v>
      </c>
    </row>
    <row r="48" spans="1:41" x14ac:dyDescent="0.35">
      <c r="A48" s="1">
        <v>22000</v>
      </c>
      <c r="B48" s="1">
        <v>0</v>
      </c>
      <c r="C48" s="1">
        <v>0</v>
      </c>
      <c r="D48" s="1">
        <f t="shared" si="0"/>
        <v>2.2000000000000002</v>
      </c>
      <c r="E48" s="1"/>
      <c r="G48" s="1">
        <v>22000</v>
      </c>
      <c r="H48" s="1">
        <v>0</v>
      </c>
      <c r="I48" s="1">
        <v>0</v>
      </c>
      <c r="J48" s="1"/>
      <c r="L48" s="1">
        <v>22000</v>
      </c>
      <c r="M48" s="1">
        <v>0</v>
      </c>
      <c r="N48" s="1">
        <v>0</v>
      </c>
      <c r="O48" s="1"/>
      <c r="Q48" s="1">
        <v>22000</v>
      </c>
      <c r="R48" s="1">
        <v>0</v>
      </c>
      <c r="S48" s="1">
        <v>0</v>
      </c>
      <c r="T48" s="1"/>
      <c r="W48" s="1">
        <v>22000</v>
      </c>
      <c r="X48" s="1">
        <v>19559</v>
      </c>
      <c r="Y48" s="1">
        <v>0</v>
      </c>
      <c r="Z48" s="1"/>
      <c r="AB48" s="1">
        <v>22000</v>
      </c>
      <c r="AC48" s="1">
        <v>2078.3000000000002</v>
      </c>
      <c r="AD48" s="1">
        <v>0</v>
      </c>
      <c r="AE48" s="1"/>
      <c r="AH48" s="1">
        <f t="shared" si="1"/>
        <v>2.2000000000000002</v>
      </c>
      <c r="AI48" s="1">
        <f t="shared" si="2"/>
        <v>0</v>
      </c>
      <c r="AJ48" s="1">
        <f t="shared" si="3"/>
        <v>0</v>
      </c>
      <c r="AK48" s="1">
        <f t="shared" si="4"/>
        <v>0</v>
      </c>
      <c r="AL48" s="1">
        <f t="shared" si="5"/>
        <v>0</v>
      </c>
      <c r="AM48" s="1">
        <f t="shared" si="6"/>
        <v>5.9413730255164034E-2</v>
      </c>
      <c r="AN48" s="1">
        <f t="shared" si="7"/>
        <v>6.3131834750911296E-3</v>
      </c>
      <c r="AO48" s="1">
        <f t="shared" si="8"/>
        <v>1.0954485621709193E-2</v>
      </c>
    </row>
    <row r="49" spans="1:41" x14ac:dyDescent="0.35">
      <c r="A49" s="1">
        <v>22500</v>
      </c>
      <c r="B49" s="1">
        <v>0</v>
      </c>
      <c r="C49" s="1">
        <v>0</v>
      </c>
      <c r="D49" s="1">
        <f t="shared" si="0"/>
        <v>2.25</v>
      </c>
      <c r="E49" s="1"/>
      <c r="G49" s="1">
        <v>22500</v>
      </c>
      <c r="H49" s="1">
        <v>0</v>
      </c>
      <c r="I49" s="1">
        <v>0</v>
      </c>
      <c r="J49" s="1"/>
      <c r="L49" s="1">
        <v>22500</v>
      </c>
      <c r="M49" s="1">
        <v>0</v>
      </c>
      <c r="N49" s="1">
        <v>0</v>
      </c>
      <c r="O49" s="1"/>
      <c r="Q49" s="1">
        <v>22500</v>
      </c>
      <c r="R49" s="1">
        <v>0</v>
      </c>
      <c r="S49" s="1">
        <v>0</v>
      </c>
      <c r="T49" s="1"/>
      <c r="W49" s="1">
        <v>22500</v>
      </c>
      <c r="X49" s="1">
        <v>5880.5</v>
      </c>
      <c r="Y49" s="1">
        <v>0</v>
      </c>
      <c r="Z49" s="1"/>
      <c r="AB49" s="1">
        <v>22500</v>
      </c>
      <c r="AC49" s="1">
        <v>3132.5</v>
      </c>
      <c r="AD49" s="1">
        <v>0</v>
      </c>
      <c r="AE49" s="1"/>
      <c r="AH49" s="1">
        <f t="shared" si="1"/>
        <v>2.25</v>
      </c>
      <c r="AI49" s="1">
        <f t="shared" si="2"/>
        <v>0</v>
      </c>
      <c r="AJ49" s="1">
        <f t="shared" si="3"/>
        <v>0</v>
      </c>
      <c r="AK49" s="1">
        <f t="shared" si="4"/>
        <v>0</v>
      </c>
      <c r="AL49" s="1">
        <f t="shared" si="5"/>
        <v>0</v>
      </c>
      <c r="AM49" s="1">
        <f t="shared" si="6"/>
        <v>1.7863001215066825E-2</v>
      </c>
      <c r="AN49" s="1">
        <f t="shared" si="7"/>
        <v>9.5154921020656133E-3</v>
      </c>
      <c r="AO49" s="1">
        <f t="shared" si="8"/>
        <v>4.5630822195220728E-3</v>
      </c>
    </row>
    <row r="50" spans="1:41" x14ac:dyDescent="0.35">
      <c r="A50" s="1">
        <v>23000</v>
      </c>
      <c r="B50" s="1">
        <v>0</v>
      </c>
      <c r="C50" s="1">
        <v>0</v>
      </c>
      <c r="D50" s="1">
        <f t="shared" si="0"/>
        <v>2.2999999999999998</v>
      </c>
      <c r="E50" s="1"/>
      <c r="G50" s="1">
        <v>23000</v>
      </c>
      <c r="H50" s="1">
        <v>0</v>
      </c>
      <c r="I50" s="1">
        <v>0</v>
      </c>
      <c r="J50" s="1"/>
      <c r="L50" s="1">
        <v>23000</v>
      </c>
      <c r="M50" s="1">
        <v>0</v>
      </c>
      <c r="N50" s="1">
        <v>0</v>
      </c>
      <c r="O50" s="1"/>
      <c r="Q50" s="1">
        <v>23000</v>
      </c>
      <c r="R50" s="1">
        <v>0</v>
      </c>
      <c r="S50" s="1">
        <v>0</v>
      </c>
      <c r="T50" s="1"/>
      <c r="W50" s="1">
        <v>23000</v>
      </c>
      <c r="X50" s="1">
        <v>703.1</v>
      </c>
      <c r="Y50" s="1">
        <v>0</v>
      </c>
      <c r="Z50" s="1"/>
      <c r="AB50" s="1">
        <v>23000</v>
      </c>
      <c r="AC50" s="1">
        <v>4307.2</v>
      </c>
      <c r="AD50" s="1">
        <v>0</v>
      </c>
      <c r="AE50" s="1"/>
      <c r="AH50" s="1">
        <f t="shared" si="1"/>
        <v>2.2999999999999998</v>
      </c>
      <c r="AI50" s="1">
        <f t="shared" si="2"/>
        <v>0</v>
      </c>
      <c r="AJ50" s="1">
        <f t="shared" si="3"/>
        <v>0</v>
      </c>
      <c r="AK50" s="1">
        <f t="shared" si="4"/>
        <v>0</v>
      </c>
      <c r="AL50" s="1">
        <f t="shared" si="5"/>
        <v>0</v>
      </c>
      <c r="AM50" s="1">
        <f t="shared" si="6"/>
        <v>2.1357837181044956E-3</v>
      </c>
      <c r="AN50" s="1">
        <f t="shared" si="7"/>
        <v>1.3083839611178613E-2</v>
      </c>
      <c r="AO50" s="1">
        <f t="shared" si="8"/>
        <v>2.5366038882138515E-3</v>
      </c>
    </row>
    <row r="51" spans="1:41" x14ac:dyDescent="0.35">
      <c r="A51" s="1">
        <v>23500</v>
      </c>
      <c r="B51" s="1">
        <v>0</v>
      </c>
      <c r="C51" s="1">
        <v>0</v>
      </c>
      <c r="D51" s="1">
        <f t="shared" si="0"/>
        <v>2.35</v>
      </c>
      <c r="E51" s="1"/>
      <c r="G51" s="1">
        <v>23500</v>
      </c>
      <c r="H51" s="1">
        <v>0</v>
      </c>
      <c r="I51" s="1">
        <v>0</v>
      </c>
      <c r="J51" s="1"/>
      <c r="L51" s="1">
        <v>23500</v>
      </c>
      <c r="M51" s="1">
        <v>0</v>
      </c>
      <c r="N51" s="1">
        <v>0</v>
      </c>
      <c r="O51" s="1"/>
      <c r="Q51" s="1">
        <v>23500</v>
      </c>
      <c r="R51" s="1">
        <v>0</v>
      </c>
      <c r="S51" s="1">
        <v>0</v>
      </c>
      <c r="T51" s="1"/>
      <c r="W51" s="1">
        <v>23500</v>
      </c>
      <c r="X51" s="1">
        <v>127.84</v>
      </c>
      <c r="Y51" s="1">
        <v>0</v>
      </c>
      <c r="Z51" s="1"/>
      <c r="AB51" s="1">
        <v>23500</v>
      </c>
      <c r="AC51" s="1">
        <v>8855.4</v>
      </c>
      <c r="AD51" s="1">
        <v>0</v>
      </c>
      <c r="AE51" s="1"/>
      <c r="AH51" s="1">
        <f t="shared" si="1"/>
        <v>2.35</v>
      </c>
      <c r="AI51" s="1">
        <f t="shared" si="2"/>
        <v>0</v>
      </c>
      <c r="AJ51" s="1">
        <f t="shared" si="3"/>
        <v>0</v>
      </c>
      <c r="AK51" s="1">
        <f t="shared" si="4"/>
        <v>0</v>
      </c>
      <c r="AL51" s="1">
        <f t="shared" si="5"/>
        <v>0</v>
      </c>
      <c r="AM51" s="1">
        <f t="shared" si="6"/>
        <v>3.8833535844471446E-4</v>
      </c>
      <c r="AN51" s="1">
        <f t="shared" si="7"/>
        <v>2.6899756986634264E-2</v>
      </c>
      <c r="AO51" s="1">
        <f t="shared" si="8"/>
        <v>4.5480153908464965E-3</v>
      </c>
    </row>
    <row r="52" spans="1:41" x14ac:dyDescent="0.35">
      <c r="A52" s="1">
        <v>24000</v>
      </c>
      <c r="B52" s="1">
        <v>0</v>
      </c>
      <c r="C52" s="1">
        <v>0</v>
      </c>
      <c r="D52" s="1">
        <f t="shared" si="0"/>
        <v>2.4</v>
      </c>
      <c r="E52" s="1"/>
      <c r="G52" s="1">
        <v>24000</v>
      </c>
      <c r="H52" s="1">
        <v>0</v>
      </c>
      <c r="I52" s="1">
        <v>0</v>
      </c>
      <c r="J52" s="1"/>
      <c r="L52" s="1">
        <v>24000</v>
      </c>
      <c r="M52" s="1">
        <v>0</v>
      </c>
      <c r="N52" s="1">
        <v>0</v>
      </c>
      <c r="O52" s="1"/>
      <c r="Q52" s="1">
        <v>24000</v>
      </c>
      <c r="R52" s="1">
        <v>0</v>
      </c>
      <c r="S52" s="1">
        <v>0</v>
      </c>
      <c r="T52" s="1"/>
      <c r="W52" s="1">
        <v>24000</v>
      </c>
      <c r="X52" s="1">
        <v>0</v>
      </c>
      <c r="Y52" s="1">
        <v>0</v>
      </c>
      <c r="Z52" s="1"/>
      <c r="AB52" s="1">
        <v>24000</v>
      </c>
      <c r="AC52" s="1">
        <v>12169</v>
      </c>
      <c r="AD52" s="1">
        <v>0</v>
      </c>
      <c r="AE52" s="1"/>
      <c r="AH52" s="1">
        <f t="shared" si="1"/>
        <v>2.4</v>
      </c>
      <c r="AI52" s="1">
        <f t="shared" si="2"/>
        <v>0</v>
      </c>
      <c r="AJ52" s="1">
        <f t="shared" si="3"/>
        <v>0</v>
      </c>
      <c r="AK52" s="1">
        <f t="shared" si="4"/>
        <v>0</v>
      </c>
      <c r="AL52" s="1">
        <f t="shared" si="5"/>
        <v>0</v>
      </c>
      <c r="AM52" s="1">
        <f t="shared" si="6"/>
        <v>0</v>
      </c>
      <c r="AN52" s="1">
        <f t="shared" si="7"/>
        <v>3.6965370595382747E-2</v>
      </c>
      <c r="AO52" s="1">
        <f t="shared" si="8"/>
        <v>6.1608950992304576E-3</v>
      </c>
    </row>
    <row r="53" spans="1:41" x14ac:dyDescent="0.35">
      <c r="A53" s="1">
        <v>24500</v>
      </c>
      <c r="B53" s="1">
        <v>0</v>
      </c>
      <c r="C53" s="1">
        <v>0</v>
      </c>
      <c r="D53" s="1">
        <f t="shared" si="0"/>
        <v>2.4500000000000002</v>
      </c>
      <c r="E53" s="1"/>
      <c r="G53" s="1">
        <v>24500</v>
      </c>
      <c r="H53" s="1">
        <v>0</v>
      </c>
      <c r="I53" s="1">
        <v>0</v>
      </c>
      <c r="J53" s="1"/>
      <c r="L53" s="1">
        <v>24500</v>
      </c>
      <c r="M53" s="1">
        <v>0</v>
      </c>
      <c r="N53" s="1">
        <v>0</v>
      </c>
      <c r="O53" s="1"/>
      <c r="Q53" s="1">
        <v>24500</v>
      </c>
      <c r="R53" s="1">
        <v>0</v>
      </c>
      <c r="S53" s="1">
        <v>0</v>
      </c>
      <c r="T53" s="1"/>
      <c r="W53" s="1">
        <v>24500</v>
      </c>
      <c r="X53" s="1">
        <v>0</v>
      </c>
      <c r="Y53" s="1">
        <v>0</v>
      </c>
      <c r="Z53" s="1"/>
      <c r="AB53" s="1">
        <v>24500</v>
      </c>
      <c r="AC53" s="1">
        <v>20452</v>
      </c>
      <c r="AD53" s="1">
        <v>0</v>
      </c>
      <c r="AE53" s="1"/>
      <c r="AH53" s="1">
        <f t="shared" si="1"/>
        <v>2.4500000000000002</v>
      </c>
      <c r="AI53" s="1">
        <f t="shared" si="2"/>
        <v>0</v>
      </c>
      <c r="AJ53" s="1">
        <f t="shared" si="3"/>
        <v>0</v>
      </c>
      <c r="AK53" s="1">
        <f t="shared" si="4"/>
        <v>0</v>
      </c>
      <c r="AL53" s="1">
        <f t="shared" si="5"/>
        <v>0</v>
      </c>
      <c r="AM53" s="1">
        <f t="shared" si="6"/>
        <v>0</v>
      </c>
      <c r="AN53" s="1">
        <f t="shared" si="7"/>
        <v>6.2126366950182255E-2</v>
      </c>
      <c r="AO53" s="1">
        <f t="shared" si="8"/>
        <v>1.0354394491697042E-2</v>
      </c>
    </row>
    <row r="54" spans="1:41" x14ac:dyDescent="0.35">
      <c r="A54" s="1">
        <v>25000</v>
      </c>
      <c r="B54" s="1">
        <v>0</v>
      </c>
      <c r="C54" s="1">
        <v>0</v>
      </c>
      <c r="D54" s="1">
        <f t="shared" si="0"/>
        <v>2.5</v>
      </c>
      <c r="E54" s="1"/>
      <c r="G54" s="1">
        <v>25000</v>
      </c>
      <c r="H54" s="1">
        <v>0</v>
      </c>
      <c r="I54" s="1">
        <v>0</v>
      </c>
      <c r="J54" s="1"/>
      <c r="L54" s="1">
        <v>25000</v>
      </c>
      <c r="M54" s="1">
        <v>0</v>
      </c>
      <c r="N54" s="1">
        <v>0</v>
      </c>
      <c r="O54" s="1"/>
      <c r="Q54" s="1">
        <v>25000</v>
      </c>
      <c r="R54" s="1">
        <v>0</v>
      </c>
      <c r="S54" s="1">
        <v>0</v>
      </c>
      <c r="T54" s="1"/>
      <c r="W54" s="1">
        <v>25000</v>
      </c>
      <c r="X54" s="1">
        <v>0</v>
      </c>
      <c r="Y54" s="1">
        <v>0</v>
      </c>
      <c r="Z54" s="1"/>
      <c r="AB54" s="1">
        <v>25000</v>
      </c>
      <c r="AC54" s="1">
        <v>30060</v>
      </c>
      <c r="AD54" s="1">
        <v>0</v>
      </c>
      <c r="AE54" s="1"/>
      <c r="AH54" s="1">
        <f t="shared" si="1"/>
        <v>2.5</v>
      </c>
      <c r="AI54" s="1">
        <f t="shared" si="2"/>
        <v>0</v>
      </c>
      <c r="AJ54" s="1">
        <f t="shared" si="3"/>
        <v>0</v>
      </c>
      <c r="AK54" s="1">
        <f t="shared" si="4"/>
        <v>0</v>
      </c>
      <c r="AL54" s="1">
        <f t="shared" si="5"/>
        <v>0</v>
      </c>
      <c r="AM54" s="1">
        <f t="shared" si="6"/>
        <v>0</v>
      </c>
      <c r="AN54" s="1">
        <f t="shared" si="7"/>
        <v>9.1312272174969622E-2</v>
      </c>
      <c r="AO54" s="1">
        <f t="shared" si="8"/>
        <v>1.5218712029161604E-2</v>
      </c>
    </row>
    <row r="55" spans="1:41" x14ac:dyDescent="0.35">
      <c r="A55" s="1">
        <v>25500</v>
      </c>
      <c r="B55" s="1">
        <v>0</v>
      </c>
      <c r="C55" s="1">
        <v>0</v>
      </c>
      <c r="D55" s="1">
        <f t="shared" si="0"/>
        <v>2.5499999999999998</v>
      </c>
      <c r="E55" s="1"/>
      <c r="G55" s="1">
        <v>25500</v>
      </c>
      <c r="H55" s="1">
        <v>0</v>
      </c>
      <c r="I55" s="1">
        <v>0</v>
      </c>
      <c r="J55" s="1"/>
      <c r="L55" s="1">
        <v>25500</v>
      </c>
      <c r="M55" s="1">
        <v>0</v>
      </c>
      <c r="N55" s="1">
        <v>0</v>
      </c>
      <c r="O55" s="1"/>
      <c r="Q55" s="1">
        <v>25500</v>
      </c>
      <c r="R55" s="1">
        <v>0</v>
      </c>
      <c r="S55" s="1">
        <v>0</v>
      </c>
      <c r="T55" s="1"/>
      <c r="W55" s="1">
        <v>25500</v>
      </c>
      <c r="X55" s="1">
        <v>0</v>
      </c>
      <c r="Y55" s="1">
        <v>0</v>
      </c>
      <c r="Z55" s="1"/>
      <c r="AB55" s="1">
        <v>25500</v>
      </c>
      <c r="AC55" s="1">
        <v>41084</v>
      </c>
      <c r="AD55" s="1">
        <v>0</v>
      </c>
      <c r="AE55" s="1"/>
      <c r="AH55" s="1">
        <f t="shared" si="1"/>
        <v>2.5499999999999998</v>
      </c>
      <c r="AI55" s="1">
        <f t="shared" si="2"/>
        <v>0</v>
      </c>
      <c r="AJ55" s="1">
        <f t="shared" si="3"/>
        <v>0</v>
      </c>
      <c r="AK55" s="1">
        <f t="shared" si="4"/>
        <v>0</v>
      </c>
      <c r="AL55" s="1">
        <f t="shared" si="5"/>
        <v>0</v>
      </c>
      <c r="AM55" s="1">
        <f t="shared" si="6"/>
        <v>0</v>
      </c>
      <c r="AN55" s="1">
        <f t="shared" si="7"/>
        <v>0.12479951397326852</v>
      </c>
      <c r="AO55" s="1">
        <f t="shared" si="8"/>
        <v>2.0799918995544755E-2</v>
      </c>
    </row>
    <row r="56" spans="1:41" x14ac:dyDescent="0.35">
      <c r="A56" s="1">
        <v>26000</v>
      </c>
      <c r="B56" s="1">
        <v>0</v>
      </c>
      <c r="C56" s="1">
        <v>0</v>
      </c>
      <c r="D56" s="1">
        <f t="shared" si="0"/>
        <v>2.6</v>
      </c>
      <c r="E56" s="1"/>
      <c r="G56" s="1">
        <v>26000</v>
      </c>
      <c r="H56" s="1">
        <v>0</v>
      </c>
      <c r="I56" s="1">
        <v>0</v>
      </c>
      <c r="J56" s="1"/>
      <c r="L56" s="1">
        <v>26000</v>
      </c>
      <c r="M56" s="1">
        <v>0</v>
      </c>
      <c r="N56" s="1">
        <v>0</v>
      </c>
      <c r="O56" s="1"/>
      <c r="Q56" s="1">
        <v>26000</v>
      </c>
      <c r="R56" s="1">
        <v>0</v>
      </c>
      <c r="S56" s="1">
        <v>0</v>
      </c>
      <c r="T56" s="1"/>
      <c r="W56" s="1">
        <v>26000</v>
      </c>
      <c r="X56" s="1">
        <v>0</v>
      </c>
      <c r="Y56" s="1">
        <v>0</v>
      </c>
      <c r="Z56" s="1"/>
      <c r="AB56" s="1">
        <v>26000</v>
      </c>
      <c r="AC56" s="1">
        <v>37590</v>
      </c>
      <c r="AD56" s="1">
        <v>0</v>
      </c>
      <c r="AE56" s="1"/>
      <c r="AH56" s="1">
        <f t="shared" si="1"/>
        <v>2.6</v>
      </c>
      <c r="AI56" s="1">
        <f t="shared" si="2"/>
        <v>0</v>
      </c>
      <c r="AJ56" s="1">
        <f t="shared" si="3"/>
        <v>0</v>
      </c>
      <c r="AK56" s="1">
        <f t="shared" si="4"/>
        <v>0</v>
      </c>
      <c r="AL56" s="1">
        <f t="shared" si="5"/>
        <v>0</v>
      </c>
      <c r="AM56" s="1">
        <f t="shared" si="6"/>
        <v>0</v>
      </c>
      <c r="AN56" s="1">
        <f t="shared" si="7"/>
        <v>0.11418590522478736</v>
      </c>
      <c r="AO56" s="1">
        <f t="shared" si="8"/>
        <v>1.9030984204131227E-2</v>
      </c>
    </row>
    <row r="57" spans="1:41" x14ac:dyDescent="0.35">
      <c r="A57" s="1">
        <v>26500</v>
      </c>
      <c r="B57" s="1">
        <v>0</v>
      </c>
      <c r="C57" s="1">
        <v>0</v>
      </c>
      <c r="D57" s="1">
        <f t="shared" si="0"/>
        <v>2.65</v>
      </c>
      <c r="E57" s="1"/>
      <c r="G57" s="1">
        <v>26500</v>
      </c>
      <c r="H57" s="1">
        <v>0</v>
      </c>
      <c r="I57" s="1">
        <v>0</v>
      </c>
      <c r="J57" s="1"/>
      <c r="L57" s="1">
        <v>26500</v>
      </c>
      <c r="M57" s="1">
        <v>0</v>
      </c>
      <c r="N57" s="1">
        <v>0</v>
      </c>
      <c r="O57" s="1"/>
      <c r="Q57" s="1">
        <v>26500</v>
      </c>
      <c r="R57" s="1">
        <v>0</v>
      </c>
      <c r="S57" s="1">
        <v>0</v>
      </c>
      <c r="T57" s="1"/>
      <c r="W57" s="1">
        <v>26500</v>
      </c>
      <c r="X57" s="1">
        <v>0</v>
      </c>
      <c r="Y57" s="1">
        <v>0</v>
      </c>
      <c r="Z57" s="1"/>
      <c r="AB57" s="1">
        <v>26500</v>
      </c>
      <c r="AC57" s="1">
        <v>24699</v>
      </c>
      <c r="AD57" s="1">
        <v>0</v>
      </c>
      <c r="AE57" s="1"/>
      <c r="AH57" s="1">
        <f t="shared" si="1"/>
        <v>2.65</v>
      </c>
      <c r="AI57" s="1">
        <f t="shared" si="2"/>
        <v>0</v>
      </c>
      <c r="AJ57" s="1">
        <f t="shared" si="3"/>
        <v>0</v>
      </c>
      <c r="AK57" s="1">
        <f t="shared" si="4"/>
        <v>0</v>
      </c>
      <c r="AL57" s="1">
        <f t="shared" si="5"/>
        <v>0</v>
      </c>
      <c r="AM57" s="1">
        <f t="shared" si="6"/>
        <v>0</v>
      </c>
      <c r="AN57" s="1">
        <f t="shared" si="7"/>
        <v>7.5027339003645194E-2</v>
      </c>
      <c r="AO57" s="1">
        <f t="shared" si="8"/>
        <v>1.2504556500607533E-2</v>
      </c>
    </row>
    <row r="58" spans="1:41" x14ac:dyDescent="0.35">
      <c r="A58" s="1">
        <v>27000</v>
      </c>
      <c r="B58" s="1">
        <v>0</v>
      </c>
      <c r="C58" s="1">
        <v>0</v>
      </c>
      <c r="D58" s="1">
        <f t="shared" si="0"/>
        <v>2.7</v>
      </c>
      <c r="E58" s="1"/>
      <c r="G58" s="1">
        <v>27000</v>
      </c>
      <c r="H58" s="1">
        <v>0</v>
      </c>
      <c r="I58" s="1">
        <v>0</v>
      </c>
      <c r="J58" s="1"/>
      <c r="L58" s="1">
        <v>27000</v>
      </c>
      <c r="M58" s="1">
        <v>0</v>
      </c>
      <c r="N58" s="1">
        <v>0</v>
      </c>
      <c r="O58" s="1"/>
      <c r="Q58" s="1">
        <v>27000</v>
      </c>
      <c r="R58" s="1">
        <v>0</v>
      </c>
      <c r="S58" s="1">
        <v>0</v>
      </c>
      <c r="T58" s="1"/>
      <c r="W58" s="1">
        <v>27000</v>
      </c>
      <c r="X58" s="1">
        <v>0</v>
      </c>
      <c r="Y58" s="1">
        <v>0</v>
      </c>
      <c r="Z58" s="1"/>
      <c r="AB58" s="1">
        <v>27000</v>
      </c>
      <c r="AC58" s="1">
        <v>8584.2999999999993</v>
      </c>
      <c r="AD58" s="1">
        <v>0</v>
      </c>
      <c r="AE58" s="1"/>
      <c r="AH58" s="1">
        <f t="shared" si="1"/>
        <v>2.7</v>
      </c>
      <c r="AI58" s="1">
        <f t="shared" si="2"/>
        <v>0</v>
      </c>
      <c r="AJ58" s="1">
        <f t="shared" si="3"/>
        <v>0</v>
      </c>
      <c r="AK58" s="1">
        <f t="shared" si="4"/>
        <v>0</v>
      </c>
      <c r="AL58" s="1">
        <f t="shared" si="5"/>
        <v>0</v>
      </c>
      <c r="AM58" s="1">
        <f t="shared" si="6"/>
        <v>0</v>
      </c>
      <c r="AN58" s="1">
        <f t="shared" si="7"/>
        <v>2.6076245443499388E-2</v>
      </c>
      <c r="AO58" s="1">
        <f t="shared" si="8"/>
        <v>4.3460409072498983E-3</v>
      </c>
    </row>
    <row r="59" spans="1:41" x14ac:dyDescent="0.35">
      <c r="A59" s="1">
        <v>27500</v>
      </c>
      <c r="B59" s="1">
        <v>0</v>
      </c>
      <c r="C59" s="1">
        <v>0</v>
      </c>
      <c r="D59" s="1">
        <f t="shared" si="0"/>
        <v>2.75</v>
      </c>
      <c r="E59" s="1"/>
      <c r="G59" s="1">
        <v>27500</v>
      </c>
      <c r="H59" s="1">
        <v>0</v>
      </c>
      <c r="I59" s="1">
        <v>0</v>
      </c>
      <c r="J59" s="1"/>
      <c r="L59" s="1">
        <v>27500</v>
      </c>
      <c r="M59" s="1">
        <v>0</v>
      </c>
      <c r="N59" s="1">
        <v>0</v>
      </c>
      <c r="O59" s="1"/>
      <c r="Q59" s="1">
        <v>27500</v>
      </c>
      <c r="R59" s="1">
        <v>0</v>
      </c>
      <c r="S59" s="1">
        <v>0</v>
      </c>
      <c r="T59" s="1"/>
      <c r="W59" s="1">
        <v>27500</v>
      </c>
      <c r="X59" s="1">
        <v>0</v>
      </c>
      <c r="Y59" s="1">
        <v>0</v>
      </c>
      <c r="Z59" s="1"/>
      <c r="AB59" s="1">
        <v>27500</v>
      </c>
      <c r="AC59" s="1">
        <v>2469.9</v>
      </c>
      <c r="AD59" s="1">
        <v>0</v>
      </c>
      <c r="AE59" s="1"/>
      <c r="AH59" s="1">
        <f t="shared" si="1"/>
        <v>2.75</v>
      </c>
      <c r="AI59" s="1">
        <f t="shared" si="2"/>
        <v>0</v>
      </c>
      <c r="AJ59" s="1">
        <f t="shared" si="3"/>
        <v>0</v>
      </c>
      <c r="AK59" s="1">
        <f t="shared" si="4"/>
        <v>0</v>
      </c>
      <c r="AL59" s="1">
        <f t="shared" si="5"/>
        <v>0</v>
      </c>
      <c r="AM59" s="1">
        <f t="shared" si="6"/>
        <v>0</v>
      </c>
      <c r="AN59" s="1">
        <f t="shared" si="7"/>
        <v>7.5027339003645192E-3</v>
      </c>
      <c r="AO59" s="1">
        <f t="shared" si="8"/>
        <v>1.2504556500607532E-3</v>
      </c>
    </row>
    <row r="60" spans="1:41" x14ac:dyDescent="0.35">
      <c r="A60" s="1">
        <v>28000</v>
      </c>
      <c r="B60" s="1">
        <v>0</v>
      </c>
      <c r="C60" s="1">
        <v>0</v>
      </c>
      <c r="D60" s="1">
        <f t="shared" si="0"/>
        <v>2.8</v>
      </c>
      <c r="E60" s="1"/>
      <c r="G60" s="1">
        <v>28000</v>
      </c>
      <c r="H60" s="1">
        <v>0</v>
      </c>
      <c r="I60" s="1">
        <v>0</v>
      </c>
      <c r="J60" s="1"/>
      <c r="L60" s="1">
        <v>28000</v>
      </c>
      <c r="M60" s="1">
        <v>0</v>
      </c>
      <c r="N60" s="1">
        <v>0</v>
      </c>
      <c r="O60" s="1"/>
      <c r="Q60" s="1">
        <v>28000</v>
      </c>
      <c r="R60" s="1">
        <v>0</v>
      </c>
      <c r="S60" s="1">
        <v>0</v>
      </c>
      <c r="T60" s="1"/>
      <c r="W60" s="1">
        <v>28000</v>
      </c>
      <c r="X60" s="1">
        <v>0</v>
      </c>
      <c r="Y60" s="1">
        <v>0</v>
      </c>
      <c r="Z60" s="1"/>
      <c r="AB60" s="1">
        <v>28000</v>
      </c>
      <c r="AC60" s="1">
        <v>150.6</v>
      </c>
      <c r="AD60" s="1">
        <v>0</v>
      </c>
      <c r="AE60" s="1"/>
      <c r="AH60" s="1">
        <f t="shared" si="1"/>
        <v>2.8</v>
      </c>
      <c r="AI60" s="1">
        <f t="shared" si="2"/>
        <v>0</v>
      </c>
      <c r="AJ60" s="1">
        <f t="shared" si="3"/>
        <v>0</v>
      </c>
      <c r="AK60" s="1">
        <f t="shared" si="4"/>
        <v>0</v>
      </c>
      <c r="AL60" s="1">
        <f t="shared" si="5"/>
        <v>0</v>
      </c>
      <c r="AM60" s="1">
        <f t="shared" si="6"/>
        <v>0</v>
      </c>
      <c r="AN60" s="1">
        <f t="shared" si="7"/>
        <v>4.5747266099635471E-4</v>
      </c>
      <c r="AO60" s="1">
        <f t="shared" si="8"/>
        <v>7.6245443499392456E-5</v>
      </c>
    </row>
    <row r="61" spans="1:41" x14ac:dyDescent="0.35">
      <c r="A61" s="1">
        <v>28500</v>
      </c>
      <c r="B61" s="1">
        <v>0</v>
      </c>
      <c r="C61" s="1">
        <v>0</v>
      </c>
      <c r="D61" s="1">
        <f t="shared" si="0"/>
        <v>2.85</v>
      </c>
      <c r="E61" s="1"/>
      <c r="G61" s="1">
        <v>28500</v>
      </c>
      <c r="H61" s="1">
        <v>0</v>
      </c>
      <c r="I61" s="1">
        <v>0</v>
      </c>
      <c r="J61" s="1"/>
      <c r="L61" s="1">
        <v>28500</v>
      </c>
      <c r="M61" s="1">
        <v>0</v>
      </c>
      <c r="N61" s="1">
        <v>0</v>
      </c>
      <c r="O61" s="1"/>
      <c r="Q61" s="1">
        <v>28500</v>
      </c>
      <c r="R61" s="1">
        <v>0</v>
      </c>
      <c r="S61" s="1">
        <v>0</v>
      </c>
      <c r="T61" s="1"/>
      <c r="W61" s="1">
        <v>28500</v>
      </c>
      <c r="X61" s="1">
        <v>0</v>
      </c>
      <c r="Y61" s="1">
        <v>0</v>
      </c>
      <c r="Z61" s="1"/>
      <c r="AB61" s="1">
        <v>28500</v>
      </c>
      <c r="AC61" s="1">
        <v>0</v>
      </c>
      <c r="AD61" s="1">
        <v>0</v>
      </c>
      <c r="AE61" s="1"/>
      <c r="AH61" s="1">
        <f t="shared" si="1"/>
        <v>2.85</v>
      </c>
      <c r="AI61" s="1">
        <f t="shared" si="2"/>
        <v>0</v>
      </c>
      <c r="AJ61" s="1">
        <f t="shared" si="3"/>
        <v>0</v>
      </c>
      <c r="AK61" s="1">
        <f t="shared" si="4"/>
        <v>0</v>
      </c>
      <c r="AL61" s="1">
        <f t="shared" si="5"/>
        <v>0</v>
      </c>
      <c r="AM61" s="1">
        <f t="shared" si="6"/>
        <v>0</v>
      </c>
      <c r="AN61" s="1">
        <f t="shared" si="7"/>
        <v>0</v>
      </c>
      <c r="AO61" s="1">
        <f t="shared" si="8"/>
        <v>0</v>
      </c>
    </row>
    <row r="62" spans="1:41" x14ac:dyDescent="0.35">
      <c r="A62" s="1">
        <v>29000</v>
      </c>
      <c r="B62" s="1">
        <v>0</v>
      </c>
      <c r="C62" s="1">
        <v>0</v>
      </c>
      <c r="D62" s="1">
        <f t="shared" si="0"/>
        <v>2.9</v>
      </c>
      <c r="E62" s="1"/>
      <c r="G62" s="1">
        <v>29000</v>
      </c>
      <c r="H62" s="1">
        <v>0</v>
      </c>
      <c r="I62" s="1">
        <v>0</v>
      </c>
      <c r="J62" s="1"/>
      <c r="L62" s="1">
        <v>29000</v>
      </c>
      <c r="M62" s="1">
        <v>0</v>
      </c>
      <c r="N62" s="1">
        <v>0</v>
      </c>
      <c r="O62" s="1"/>
      <c r="Q62" s="1">
        <v>29000</v>
      </c>
      <c r="R62" s="1">
        <v>0</v>
      </c>
      <c r="S62" s="1">
        <v>0</v>
      </c>
      <c r="T62" s="1"/>
      <c r="W62" s="1">
        <v>29000</v>
      </c>
      <c r="X62" s="1">
        <v>0</v>
      </c>
      <c r="Y62" s="1">
        <v>0</v>
      </c>
      <c r="Z62" s="1"/>
      <c r="AB62" s="1">
        <v>29000</v>
      </c>
      <c r="AC62" s="1">
        <v>0</v>
      </c>
      <c r="AD62" s="1">
        <v>0</v>
      </c>
      <c r="AE62" s="1"/>
      <c r="AH62" s="1">
        <f t="shared" si="1"/>
        <v>2.9</v>
      </c>
      <c r="AI62" s="1">
        <f t="shared" si="2"/>
        <v>0</v>
      </c>
      <c r="AJ62" s="1">
        <f t="shared" si="3"/>
        <v>0</v>
      </c>
      <c r="AK62" s="1">
        <f t="shared" si="4"/>
        <v>0</v>
      </c>
      <c r="AL62" s="1">
        <f t="shared" si="5"/>
        <v>0</v>
      </c>
      <c r="AM62" s="1">
        <f t="shared" si="6"/>
        <v>0</v>
      </c>
      <c r="AN62" s="1">
        <f t="shared" si="7"/>
        <v>0</v>
      </c>
      <c r="AO62" s="1">
        <f t="shared" si="8"/>
        <v>0</v>
      </c>
    </row>
    <row r="63" spans="1:41" x14ac:dyDescent="0.35">
      <c r="A63" s="1">
        <v>29500</v>
      </c>
      <c r="B63" s="1">
        <v>0</v>
      </c>
      <c r="C63" s="1">
        <v>0</v>
      </c>
      <c r="D63" s="1">
        <f t="shared" si="0"/>
        <v>2.95</v>
      </c>
      <c r="E63" s="1"/>
      <c r="G63" s="1">
        <v>29500</v>
      </c>
      <c r="H63" s="1">
        <v>0</v>
      </c>
      <c r="I63" s="1">
        <v>0</v>
      </c>
      <c r="J63" s="1"/>
      <c r="L63" s="1">
        <v>29500</v>
      </c>
      <c r="M63" s="1">
        <v>0</v>
      </c>
      <c r="N63" s="1">
        <v>0</v>
      </c>
      <c r="O63" s="1"/>
      <c r="Q63" s="1">
        <v>29500</v>
      </c>
      <c r="R63" s="1">
        <v>0</v>
      </c>
      <c r="S63" s="1">
        <v>0</v>
      </c>
      <c r="T63" s="1"/>
      <c r="W63" s="1">
        <v>29500</v>
      </c>
      <c r="X63" s="1">
        <v>0</v>
      </c>
      <c r="Y63" s="1">
        <v>0</v>
      </c>
      <c r="Z63" s="1"/>
      <c r="AB63" s="1">
        <v>29500</v>
      </c>
      <c r="AC63" s="1">
        <v>0</v>
      </c>
      <c r="AD63" s="1">
        <v>0</v>
      </c>
      <c r="AE63" s="1"/>
      <c r="AH63" s="1">
        <f t="shared" si="1"/>
        <v>2.95</v>
      </c>
      <c r="AI63" s="1">
        <f t="shared" si="2"/>
        <v>0</v>
      </c>
      <c r="AJ63" s="1">
        <f t="shared" si="3"/>
        <v>0</v>
      </c>
      <c r="AK63" s="1">
        <f t="shared" si="4"/>
        <v>0</v>
      </c>
      <c r="AL63" s="1">
        <f t="shared" si="5"/>
        <v>0</v>
      </c>
      <c r="AM63" s="1">
        <f t="shared" si="6"/>
        <v>0</v>
      </c>
      <c r="AN63" s="1">
        <f t="shared" si="7"/>
        <v>0</v>
      </c>
      <c r="AO63" s="1">
        <f t="shared" si="8"/>
        <v>0</v>
      </c>
    </row>
    <row r="64" spans="1:41" x14ac:dyDescent="0.35">
      <c r="A64" s="1">
        <v>30000</v>
      </c>
      <c r="B64" s="1">
        <v>0</v>
      </c>
      <c r="C64" s="1">
        <v>0</v>
      </c>
      <c r="D64" s="1">
        <f t="shared" si="0"/>
        <v>3</v>
      </c>
      <c r="E64" s="1"/>
      <c r="G64" s="1">
        <v>30000</v>
      </c>
      <c r="H64" s="1">
        <v>0</v>
      </c>
      <c r="I64" s="1">
        <v>0</v>
      </c>
      <c r="J64" s="1"/>
      <c r="L64" s="1">
        <v>30000</v>
      </c>
      <c r="M64" s="1">
        <v>0</v>
      </c>
      <c r="N64" s="1">
        <v>0</v>
      </c>
      <c r="O64" s="1"/>
      <c r="Q64" s="1">
        <v>30000</v>
      </c>
      <c r="R64" s="1">
        <v>0</v>
      </c>
      <c r="S64" s="1">
        <v>0</v>
      </c>
      <c r="T64" s="1"/>
      <c r="W64" s="1">
        <v>30000</v>
      </c>
      <c r="X64" s="1">
        <v>0</v>
      </c>
      <c r="Y64" s="1">
        <v>0</v>
      </c>
      <c r="Z64" s="1"/>
      <c r="AB64" s="1">
        <v>30000</v>
      </c>
      <c r="AC64" s="1">
        <v>0</v>
      </c>
      <c r="AD64" s="1">
        <v>0</v>
      </c>
      <c r="AE64" s="1"/>
      <c r="AH64" s="1">
        <f t="shared" si="1"/>
        <v>3</v>
      </c>
      <c r="AI64" s="1">
        <f t="shared" si="2"/>
        <v>0</v>
      </c>
      <c r="AJ64" s="1">
        <f t="shared" si="3"/>
        <v>0</v>
      </c>
      <c r="AK64" s="1">
        <f t="shared" si="4"/>
        <v>0</v>
      </c>
      <c r="AL64" s="1">
        <f t="shared" si="5"/>
        <v>0</v>
      </c>
      <c r="AM64" s="1">
        <f t="shared" si="6"/>
        <v>0</v>
      </c>
      <c r="AN64" s="1">
        <f t="shared" si="7"/>
        <v>0</v>
      </c>
      <c r="AO64" s="1">
        <f t="shared" si="8"/>
        <v>0</v>
      </c>
    </row>
    <row r="65" spans="1:41" x14ac:dyDescent="0.35">
      <c r="A65" s="1">
        <v>30500</v>
      </c>
      <c r="B65" s="1">
        <v>0</v>
      </c>
      <c r="C65" s="1">
        <v>0</v>
      </c>
      <c r="D65" s="1">
        <f t="shared" si="0"/>
        <v>3.05</v>
      </c>
      <c r="E65" s="1"/>
      <c r="G65" s="1">
        <v>30500</v>
      </c>
      <c r="H65" s="1">
        <v>0</v>
      </c>
      <c r="I65" s="1">
        <v>0</v>
      </c>
      <c r="J65" s="1"/>
      <c r="L65" s="1">
        <v>30500</v>
      </c>
      <c r="M65" s="1">
        <v>0</v>
      </c>
      <c r="N65" s="1">
        <v>0</v>
      </c>
      <c r="O65" s="1"/>
      <c r="Q65" s="1">
        <v>30500</v>
      </c>
      <c r="R65" s="1">
        <v>0</v>
      </c>
      <c r="S65" s="1">
        <v>0</v>
      </c>
      <c r="T65" s="1"/>
      <c r="W65" s="1">
        <v>30500</v>
      </c>
      <c r="X65" s="1">
        <v>0</v>
      </c>
      <c r="Y65" s="1">
        <v>0</v>
      </c>
      <c r="Z65" s="1"/>
      <c r="AB65" s="1">
        <v>30500</v>
      </c>
      <c r="AC65" s="1">
        <v>0</v>
      </c>
      <c r="AD65" s="1">
        <v>0</v>
      </c>
      <c r="AE65" s="1"/>
      <c r="AH65" s="1">
        <f t="shared" si="1"/>
        <v>3.05</v>
      </c>
      <c r="AI65" s="1">
        <f t="shared" si="2"/>
        <v>0</v>
      </c>
      <c r="AJ65" s="1">
        <f t="shared" si="3"/>
        <v>0</v>
      </c>
      <c r="AK65" s="1">
        <f t="shared" si="4"/>
        <v>0</v>
      </c>
      <c r="AL65" s="1">
        <f t="shared" si="5"/>
        <v>0</v>
      </c>
      <c r="AM65" s="1">
        <f t="shared" si="6"/>
        <v>0</v>
      </c>
      <c r="AN65" s="1">
        <f t="shared" si="7"/>
        <v>0</v>
      </c>
      <c r="AO65" s="1">
        <f t="shared" si="8"/>
        <v>0</v>
      </c>
    </row>
    <row r="66" spans="1:41" x14ac:dyDescent="0.35">
      <c r="A66" s="1">
        <v>31000</v>
      </c>
      <c r="B66" s="1">
        <v>0</v>
      </c>
      <c r="C66" s="1">
        <v>0</v>
      </c>
      <c r="D66" s="1">
        <f t="shared" si="0"/>
        <v>3.1</v>
      </c>
      <c r="E66" s="1"/>
      <c r="G66" s="1">
        <v>31000</v>
      </c>
      <c r="H66" s="1">
        <v>0</v>
      </c>
      <c r="I66" s="1">
        <v>0</v>
      </c>
      <c r="J66" s="1"/>
      <c r="L66" s="1">
        <v>31000</v>
      </c>
      <c r="M66" s="1">
        <v>0</v>
      </c>
      <c r="N66" s="1">
        <v>0</v>
      </c>
      <c r="O66" s="1"/>
      <c r="Q66" s="1">
        <v>31000</v>
      </c>
      <c r="R66" s="1">
        <v>0</v>
      </c>
      <c r="S66" s="1">
        <v>0</v>
      </c>
      <c r="T66" s="1"/>
      <c r="W66" s="1">
        <v>31000</v>
      </c>
      <c r="X66" s="1">
        <v>0</v>
      </c>
      <c r="Y66" s="1">
        <v>0</v>
      </c>
      <c r="Z66" s="1"/>
      <c r="AB66" s="1">
        <v>31000</v>
      </c>
      <c r="AC66" s="1">
        <v>0</v>
      </c>
      <c r="AD66" s="1">
        <v>0</v>
      </c>
      <c r="AE66" s="1"/>
      <c r="AH66" s="1">
        <f t="shared" si="1"/>
        <v>3.1</v>
      </c>
      <c r="AI66" s="1">
        <f t="shared" si="2"/>
        <v>0</v>
      </c>
      <c r="AJ66" s="1">
        <f t="shared" si="3"/>
        <v>0</v>
      </c>
      <c r="AK66" s="1">
        <f t="shared" si="4"/>
        <v>0</v>
      </c>
      <c r="AL66" s="1">
        <f t="shared" si="5"/>
        <v>0</v>
      </c>
      <c r="AM66" s="1">
        <f t="shared" si="6"/>
        <v>0</v>
      </c>
      <c r="AN66" s="1">
        <f t="shared" si="7"/>
        <v>0</v>
      </c>
      <c r="AO66" s="1">
        <f t="shared" si="8"/>
        <v>0</v>
      </c>
    </row>
    <row r="67" spans="1:41" x14ac:dyDescent="0.35">
      <c r="A67" s="1">
        <v>31500</v>
      </c>
      <c r="B67" s="1">
        <v>0</v>
      </c>
      <c r="C67" s="1">
        <v>0</v>
      </c>
      <c r="D67" s="1">
        <f t="shared" si="0"/>
        <v>3.15</v>
      </c>
      <c r="E67" s="1"/>
      <c r="G67" s="1">
        <v>31500</v>
      </c>
      <c r="H67" s="1">
        <v>0</v>
      </c>
      <c r="I67" s="1">
        <v>0</v>
      </c>
      <c r="J67" s="1"/>
      <c r="L67" s="1">
        <v>31500</v>
      </c>
      <c r="M67" s="1">
        <v>0</v>
      </c>
      <c r="N67" s="1">
        <v>0</v>
      </c>
      <c r="O67" s="1"/>
      <c r="Q67" s="1">
        <v>31500</v>
      </c>
      <c r="R67" s="1">
        <v>0</v>
      </c>
      <c r="S67" s="1">
        <v>0</v>
      </c>
      <c r="T67" s="1"/>
      <c r="W67" s="1">
        <v>31500</v>
      </c>
      <c r="X67" s="1">
        <v>0</v>
      </c>
      <c r="Y67" s="1">
        <v>0</v>
      </c>
      <c r="Z67" s="1"/>
      <c r="AB67" s="1">
        <v>31500</v>
      </c>
      <c r="AC67" s="1">
        <v>0</v>
      </c>
      <c r="AD67" s="1">
        <v>0</v>
      </c>
      <c r="AE67" s="1"/>
      <c r="AH67" s="1">
        <f t="shared" si="1"/>
        <v>3.15</v>
      </c>
      <c r="AI67" s="1">
        <f t="shared" si="2"/>
        <v>0</v>
      </c>
      <c r="AJ67" s="1">
        <f t="shared" si="3"/>
        <v>0</v>
      </c>
      <c r="AK67" s="1">
        <f t="shared" si="4"/>
        <v>0</v>
      </c>
      <c r="AL67" s="1">
        <f t="shared" si="5"/>
        <v>0</v>
      </c>
      <c r="AM67" s="1">
        <f t="shared" si="6"/>
        <v>0</v>
      </c>
      <c r="AN67" s="1">
        <f t="shared" si="7"/>
        <v>0</v>
      </c>
      <c r="AO67" s="1">
        <f t="shared" si="8"/>
        <v>0</v>
      </c>
    </row>
    <row r="68" spans="1:41" x14ac:dyDescent="0.35">
      <c r="A68" s="1">
        <v>32000</v>
      </c>
      <c r="B68" s="1">
        <v>0</v>
      </c>
      <c r="C68" s="1">
        <v>0</v>
      </c>
      <c r="D68" s="1">
        <f t="shared" si="0"/>
        <v>3.2</v>
      </c>
      <c r="E68" s="1"/>
      <c r="G68" s="1">
        <v>32000</v>
      </c>
      <c r="H68" s="1">
        <v>0</v>
      </c>
      <c r="I68" s="1">
        <v>0</v>
      </c>
      <c r="J68" s="1"/>
      <c r="L68" s="1">
        <v>32000</v>
      </c>
      <c r="M68" s="1">
        <v>0</v>
      </c>
      <c r="N68" s="1">
        <v>0</v>
      </c>
      <c r="O68" s="1"/>
      <c r="Q68" s="1">
        <v>32000</v>
      </c>
      <c r="R68" s="1">
        <v>0</v>
      </c>
      <c r="S68" s="1">
        <v>0</v>
      </c>
      <c r="T68" s="1"/>
      <c r="W68" s="1">
        <v>32000</v>
      </c>
      <c r="X68" s="1">
        <v>0</v>
      </c>
      <c r="Y68" s="1">
        <v>0</v>
      </c>
      <c r="Z68" s="1"/>
      <c r="AB68" s="1">
        <v>32000</v>
      </c>
      <c r="AC68" s="1">
        <v>0</v>
      </c>
      <c r="AD68" s="1">
        <v>0</v>
      </c>
      <c r="AE68" s="1"/>
      <c r="AH68" s="1">
        <f t="shared" si="1"/>
        <v>3.2</v>
      </c>
      <c r="AI68" s="1">
        <f t="shared" si="2"/>
        <v>0</v>
      </c>
      <c r="AJ68" s="1">
        <f t="shared" si="3"/>
        <v>0</v>
      </c>
      <c r="AK68" s="1">
        <f t="shared" si="4"/>
        <v>0</v>
      </c>
      <c r="AL68" s="1">
        <f t="shared" si="5"/>
        <v>0</v>
      </c>
      <c r="AM68" s="1">
        <f t="shared" si="6"/>
        <v>0</v>
      </c>
      <c r="AN68" s="1">
        <f t="shared" si="7"/>
        <v>0</v>
      </c>
      <c r="AO68" s="1">
        <f t="shared" si="8"/>
        <v>0</v>
      </c>
    </row>
    <row r="69" spans="1:41" x14ac:dyDescent="0.35">
      <c r="A69" s="1">
        <v>32500</v>
      </c>
      <c r="B69" s="1">
        <v>0</v>
      </c>
      <c r="C69" s="1">
        <v>0</v>
      </c>
      <c r="D69" s="1">
        <f t="shared" si="0"/>
        <v>3.25</v>
      </c>
      <c r="E69" s="1"/>
      <c r="G69" s="1">
        <v>32500</v>
      </c>
      <c r="H69" s="1">
        <v>0</v>
      </c>
      <c r="I69" s="1">
        <v>0</v>
      </c>
      <c r="J69" s="1"/>
      <c r="L69" s="1">
        <v>32500</v>
      </c>
      <c r="M69" s="1">
        <v>0</v>
      </c>
      <c r="N69" s="1">
        <v>0</v>
      </c>
      <c r="O69" s="1"/>
      <c r="Q69" s="1">
        <v>32500</v>
      </c>
      <c r="R69" s="1">
        <v>0</v>
      </c>
      <c r="S69" s="1">
        <v>0</v>
      </c>
      <c r="T69" s="1"/>
      <c r="W69" s="1">
        <v>32500</v>
      </c>
      <c r="X69" s="1">
        <v>0</v>
      </c>
      <c r="Y69" s="1">
        <v>0</v>
      </c>
      <c r="Z69" s="1"/>
      <c r="AB69" s="1">
        <v>32500</v>
      </c>
      <c r="AC69" s="1">
        <v>0</v>
      </c>
      <c r="AD69" s="1">
        <v>0</v>
      </c>
      <c r="AE69" s="1"/>
      <c r="AH69" s="1">
        <f t="shared" si="1"/>
        <v>3.25</v>
      </c>
      <c r="AI69" s="1">
        <f t="shared" si="2"/>
        <v>0</v>
      </c>
      <c r="AJ69" s="1">
        <f t="shared" si="3"/>
        <v>0</v>
      </c>
      <c r="AK69" s="1">
        <f t="shared" si="4"/>
        <v>0</v>
      </c>
      <c r="AL69" s="1">
        <f t="shared" si="5"/>
        <v>0</v>
      </c>
      <c r="AM69" s="1">
        <f t="shared" si="6"/>
        <v>0</v>
      </c>
      <c r="AN69" s="1">
        <f t="shared" si="7"/>
        <v>0</v>
      </c>
      <c r="AO69" s="1">
        <f t="shared" si="8"/>
        <v>0</v>
      </c>
    </row>
    <row r="70" spans="1:41" x14ac:dyDescent="0.35">
      <c r="A70" s="1">
        <v>33000</v>
      </c>
      <c r="B70" s="1">
        <v>0</v>
      </c>
      <c r="C70" s="1">
        <v>0</v>
      </c>
      <c r="D70" s="1">
        <f t="shared" ref="D70:D104" si="9">A70/10000</f>
        <v>3.3</v>
      </c>
      <c r="E70" s="1"/>
      <c r="G70" s="1">
        <v>33000</v>
      </c>
      <c r="H70" s="1">
        <v>0</v>
      </c>
      <c r="I70" s="1">
        <v>0</v>
      </c>
      <c r="J70" s="1"/>
      <c r="L70" s="1">
        <v>33000</v>
      </c>
      <c r="M70" s="1">
        <v>0</v>
      </c>
      <c r="N70" s="1">
        <v>0</v>
      </c>
      <c r="O70" s="1"/>
      <c r="Q70" s="1">
        <v>33000</v>
      </c>
      <c r="R70" s="1">
        <v>0</v>
      </c>
      <c r="S70" s="1">
        <v>0</v>
      </c>
      <c r="T70" s="1"/>
      <c r="W70" s="1">
        <v>33000</v>
      </c>
      <c r="X70" s="1">
        <v>0</v>
      </c>
      <c r="Y70" s="1">
        <v>0</v>
      </c>
      <c r="Z70" s="1"/>
      <c r="AB70" s="1">
        <v>33000</v>
      </c>
      <c r="AC70" s="1">
        <v>0</v>
      </c>
      <c r="AD70" s="1">
        <v>0</v>
      </c>
      <c r="AE70" s="1"/>
      <c r="AH70" s="1">
        <f t="shared" ref="AH70:AH104" si="10">D70</f>
        <v>3.3</v>
      </c>
      <c r="AI70" s="1">
        <f t="shared" ref="AI70:AI104" si="11">B70*($AI$1/8.23/10^22)*100</f>
        <v>0</v>
      </c>
      <c r="AJ70" s="1">
        <f t="shared" ref="AJ70:AJ104" si="12">H70*($AI$1/8.23/10^22)*100</f>
        <v>0</v>
      </c>
      <c r="AK70" s="1">
        <f t="shared" ref="AK70:AK104" si="13">M70*($AI$1/8.23/10^22)*100</f>
        <v>0</v>
      </c>
      <c r="AL70" s="1">
        <f t="shared" ref="AL70:AL104" si="14">R70*($AI$1/8.23/10^22)*100</f>
        <v>0</v>
      </c>
      <c r="AM70" s="1">
        <f t="shared" ref="AM70:AM104" si="15">X70*($AI$1/8.23/10^22)*100</f>
        <v>0</v>
      </c>
      <c r="AN70" s="1">
        <f t="shared" ref="AN70:AN104" si="16">AC70*($AI$1/8.23/10^22)*100</f>
        <v>0</v>
      </c>
      <c r="AO70" s="1">
        <f t="shared" ref="AO70:AO104" si="17">AVERAGE(AI70:AN70)</f>
        <v>0</v>
      </c>
    </row>
    <row r="71" spans="1:41" x14ac:dyDescent="0.35">
      <c r="A71" s="1">
        <v>33500</v>
      </c>
      <c r="B71" s="1">
        <v>0</v>
      </c>
      <c r="C71" s="1">
        <v>0</v>
      </c>
      <c r="D71" s="1">
        <f t="shared" si="9"/>
        <v>3.35</v>
      </c>
      <c r="E71" s="1"/>
      <c r="G71" s="1">
        <v>33500</v>
      </c>
      <c r="H71" s="1">
        <v>0</v>
      </c>
      <c r="I71" s="1">
        <v>0</v>
      </c>
      <c r="J71" s="1"/>
      <c r="L71" s="1">
        <v>33500</v>
      </c>
      <c r="M71" s="1">
        <v>0</v>
      </c>
      <c r="N71" s="1">
        <v>0</v>
      </c>
      <c r="O71" s="1"/>
      <c r="Q71" s="1">
        <v>33500</v>
      </c>
      <c r="R71" s="1">
        <v>0</v>
      </c>
      <c r="S71" s="1">
        <v>0</v>
      </c>
      <c r="T71" s="1"/>
      <c r="W71" s="1">
        <v>33500</v>
      </c>
      <c r="X71" s="1">
        <v>0</v>
      </c>
      <c r="Y71" s="1">
        <v>0</v>
      </c>
      <c r="Z71" s="1"/>
      <c r="AB71" s="1">
        <v>33500</v>
      </c>
      <c r="AC71" s="1">
        <v>0</v>
      </c>
      <c r="AD71" s="1">
        <v>0</v>
      </c>
      <c r="AE71" s="1"/>
      <c r="AH71" s="1">
        <f t="shared" si="10"/>
        <v>3.35</v>
      </c>
      <c r="AI71" s="1">
        <f t="shared" si="11"/>
        <v>0</v>
      </c>
      <c r="AJ71" s="1">
        <f t="shared" si="12"/>
        <v>0</v>
      </c>
      <c r="AK71" s="1">
        <f t="shared" si="13"/>
        <v>0</v>
      </c>
      <c r="AL71" s="1">
        <f t="shared" si="14"/>
        <v>0</v>
      </c>
      <c r="AM71" s="1">
        <f t="shared" si="15"/>
        <v>0</v>
      </c>
      <c r="AN71" s="1">
        <f t="shared" si="16"/>
        <v>0</v>
      </c>
      <c r="AO71" s="1">
        <f t="shared" si="17"/>
        <v>0</v>
      </c>
    </row>
    <row r="72" spans="1:41" x14ac:dyDescent="0.35">
      <c r="A72" s="1">
        <v>34000</v>
      </c>
      <c r="B72" s="1">
        <v>0</v>
      </c>
      <c r="C72" s="1">
        <v>0</v>
      </c>
      <c r="D72" s="1">
        <f t="shared" si="9"/>
        <v>3.4</v>
      </c>
      <c r="E72" s="1"/>
      <c r="G72" s="1">
        <v>34000</v>
      </c>
      <c r="H72" s="1">
        <v>0</v>
      </c>
      <c r="I72" s="1">
        <v>0</v>
      </c>
      <c r="J72" s="1"/>
      <c r="L72" s="1">
        <v>34000</v>
      </c>
      <c r="M72" s="1">
        <v>0</v>
      </c>
      <c r="N72" s="1">
        <v>0</v>
      </c>
      <c r="O72" s="1"/>
      <c r="Q72" s="1">
        <v>34000</v>
      </c>
      <c r="R72" s="1">
        <v>0</v>
      </c>
      <c r="S72" s="1">
        <v>0</v>
      </c>
      <c r="T72" s="1"/>
      <c r="W72" s="1">
        <v>34000</v>
      </c>
      <c r="X72" s="1">
        <v>0</v>
      </c>
      <c r="Y72" s="1">
        <v>0</v>
      </c>
      <c r="Z72" s="1"/>
      <c r="AB72" s="1">
        <v>34000</v>
      </c>
      <c r="AC72" s="1">
        <v>0</v>
      </c>
      <c r="AD72" s="1">
        <v>0</v>
      </c>
      <c r="AE72" s="1"/>
      <c r="AH72" s="1">
        <f t="shared" si="10"/>
        <v>3.4</v>
      </c>
      <c r="AI72" s="1">
        <f t="shared" si="11"/>
        <v>0</v>
      </c>
      <c r="AJ72" s="1">
        <f t="shared" si="12"/>
        <v>0</v>
      </c>
      <c r="AK72" s="1">
        <f t="shared" si="13"/>
        <v>0</v>
      </c>
      <c r="AL72" s="1">
        <f t="shared" si="14"/>
        <v>0</v>
      </c>
      <c r="AM72" s="1">
        <f t="shared" si="15"/>
        <v>0</v>
      </c>
      <c r="AN72" s="1">
        <f t="shared" si="16"/>
        <v>0</v>
      </c>
      <c r="AO72" s="1">
        <f t="shared" si="17"/>
        <v>0</v>
      </c>
    </row>
    <row r="73" spans="1:41" x14ac:dyDescent="0.35">
      <c r="A73" s="1">
        <v>34500</v>
      </c>
      <c r="B73" s="1">
        <v>0</v>
      </c>
      <c r="C73" s="1">
        <v>0</v>
      </c>
      <c r="D73" s="1">
        <f t="shared" si="9"/>
        <v>3.45</v>
      </c>
      <c r="E73" s="1"/>
      <c r="G73" s="1">
        <v>34500</v>
      </c>
      <c r="H73" s="1">
        <v>0</v>
      </c>
      <c r="I73" s="1">
        <v>0</v>
      </c>
      <c r="J73" s="1"/>
      <c r="L73" s="1">
        <v>34500</v>
      </c>
      <c r="M73" s="1">
        <v>0</v>
      </c>
      <c r="N73" s="1">
        <v>0</v>
      </c>
      <c r="O73" s="1"/>
      <c r="Q73" s="1">
        <v>34500</v>
      </c>
      <c r="R73" s="1">
        <v>0</v>
      </c>
      <c r="S73" s="1">
        <v>0</v>
      </c>
      <c r="T73" s="1"/>
      <c r="W73" s="1">
        <v>34500</v>
      </c>
      <c r="X73" s="1">
        <v>0</v>
      </c>
      <c r="Y73" s="1">
        <v>0</v>
      </c>
      <c r="Z73" s="1"/>
      <c r="AB73" s="1">
        <v>34500</v>
      </c>
      <c r="AC73" s="1">
        <v>0</v>
      </c>
      <c r="AD73" s="1">
        <v>0</v>
      </c>
      <c r="AE73" s="1"/>
      <c r="AH73" s="1">
        <f t="shared" si="10"/>
        <v>3.45</v>
      </c>
      <c r="AI73" s="1">
        <f t="shared" si="11"/>
        <v>0</v>
      </c>
      <c r="AJ73" s="1">
        <f t="shared" si="12"/>
        <v>0</v>
      </c>
      <c r="AK73" s="1">
        <f t="shared" si="13"/>
        <v>0</v>
      </c>
      <c r="AL73" s="1">
        <f t="shared" si="14"/>
        <v>0</v>
      </c>
      <c r="AM73" s="1">
        <f t="shared" si="15"/>
        <v>0</v>
      </c>
      <c r="AN73" s="1">
        <f t="shared" si="16"/>
        <v>0</v>
      </c>
      <c r="AO73" s="1">
        <f t="shared" si="17"/>
        <v>0</v>
      </c>
    </row>
    <row r="74" spans="1:41" x14ac:dyDescent="0.35">
      <c r="A74" s="1">
        <v>35000</v>
      </c>
      <c r="B74" s="1">
        <v>0</v>
      </c>
      <c r="C74" s="1">
        <v>0</v>
      </c>
      <c r="D74" s="1">
        <f t="shared" si="9"/>
        <v>3.5</v>
      </c>
      <c r="E74" s="1"/>
      <c r="G74" s="1">
        <v>35000</v>
      </c>
      <c r="H74" s="1">
        <v>0</v>
      </c>
      <c r="I74" s="1">
        <v>0</v>
      </c>
      <c r="J74" s="1"/>
      <c r="L74" s="1">
        <v>35000</v>
      </c>
      <c r="M74" s="1">
        <v>0</v>
      </c>
      <c r="N74" s="1">
        <v>0</v>
      </c>
      <c r="O74" s="1"/>
      <c r="Q74" s="1">
        <v>35000</v>
      </c>
      <c r="R74" s="1">
        <v>0</v>
      </c>
      <c r="S74" s="1">
        <v>0</v>
      </c>
      <c r="T74" s="1"/>
      <c r="W74" s="1">
        <v>35000</v>
      </c>
      <c r="X74" s="1">
        <v>0</v>
      </c>
      <c r="Y74" s="1">
        <v>0</v>
      </c>
      <c r="Z74" s="1"/>
      <c r="AB74" s="1">
        <v>35000</v>
      </c>
      <c r="AC74" s="1">
        <v>0</v>
      </c>
      <c r="AD74" s="1">
        <v>0</v>
      </c>
      <c r="AE74" s="1"/>
      <c r="AH74" s="1">
        <f t="shared" si="10"/>
        <v>3.5</v>
      </c>
      <c r="AI74" s="1">
        <f t="shared" si="11"/>
        <v>0</v>
      </c>
      <c r="AJ74" s="1">
        <f t="shared" si="12"/>
        <v>0</v>
      </c>
      <c r="AK74" s="1">
        <f t="shared" si="13"/>
        <v>0</v>
      </c>
      <c r="AL74" s="1">
        <f t="shared" si="14"/>
        <v>0</v>
      </c>
      <c r="AM74" s="1">
        <f t="shared" si="15"/>
        <v>0</v>
      </c>
      <c r="AN74" s="1">
        <f t="shared" si="16"/>
        <v>0</v>
      </c>
      <c r="AO74" s="1">
        <f t="shared" si="17"/>
        <v>0</v>
      </c>
    </row>
    <row r="75" spans="1:41" x14ac:dyDescent="0.35">
      <c r="A75" s="1">
        <v>35500</v>
      </c>
      <c r="B75" s="1">
        <v>0</v>
      </c>
      <c r="C75" s="1">
        <v>0</v>
      </c>
      <c r="D75" s="1">
        <f t="shared" si="9"/>
        <v>3.55</v>
      </c>
      <c r="E75" s="1"/>
      <c r="G75" s="1">
        <v>35500</v>
      </c>
      <c r="H75" s="1">
        <v>0</v>
      </c>
      <c r="I75" s="1">
        <v>0</v>
      </c>
      <c r="J75" s="1"/>
      <c r="L75" s="1">
        <v>35500</v>
      </c>
      <c r="M75" s="1">
        <v>0</v>
      </c>
      <c r="N75" s="1">
        <v>0</v>
      </c>
      <c r="O75" s="1"/>
      <c r="Q75" s="1">
        <v>35500</v>
      </c>
      <c r="R75" s="1">
        <v>0</v>
      </c>
      <c r="S75" s="1">
        <v>0</v>
      </c>
      <c r="T75" s="1"/>
      <c r="W75" s="1">
        <v>35500</v>
      </c>
      <c r="X75" s="1">
        <v>0</v>
      </c>
      <c r="Y75" s="1">
        <v>0</v>
      </c>
      <c r="Z75" s="1"/>
      <c r="AB75" s="1">
        <v>35500</v>
      </c>
      <c r="AC75" s="1">
        <v>0</v>
      </c>
      <c r="AD75" s="1">
        <v>0</v>
      </c>
      <c r="AE75" s="1"/>
      <c r="AH75" s="1">
        <f t="shared" si="10"/>
        <v>3.55</v>
      </c>
      <c r="AI75" s="1">
        <f t="shared" si="11"/>
        <v>0</v>
      </c>
      <c r="AJ75" s="1">
        <f t="shared" si="12"/>
        <v>0</v>
      </c>
      <c r="AK75" s="1">
        <f t="shared" si="13"/>
        <v>0</v>
      </c>
      <c r="AL75" s="1">
        <f t="shared" si="14"/>
        <v>0</v>
      </c>
      <c r="AM75" s="1">
        <f t="shared" si="15"/>
        <v>0</v>
      </c>
      <c r="AN75" s="1">
        <f t="shared" si="16"/>
        <v>0</v>
      </c>
      <c r="AO75" s="1">
        <f t="shared" si="17"/>
        <v>0</v>
      </c>
    </row>
    <row r="76" spans="1:41" x14ac:dyDescent="0.35">
      <c r="A76" s="1">
        <v>36000</v>
      </c>
      <c r="B76" s="1">
        <v>0</v>
      </c>
      <c r="C76" s="1">
        <v>0</v>
      </c>
      <c r="D76" s="1">
        <f t="shared" si="9"/>
        <v>3.6</v>
      </c>
      <c r="E76" s="1"/>
      <c r="G76" s="1">
        <v>36000</v>
      </c>
      <c r="H76" s="1">
        <v>0</v>
      </c>
      <c r="I76" s="1">
        <v>0</v>
      </c>
      <c r="J76" s="1"/>
      <c r="L76" s="1">
        <v>36000</v>
      </c>
      <c r="M76" s="1">
        <v>0</v>
      </c>
      <c r="N76" s="1">
        <v>0</v>
      </c>
      <c r="O76" s="1"/>
      <c r="Q76" s="1">
        <v>36000</v>
      </c>
      <c r="R76" s="1">
        <v>0</v>
      </c>
      <c r="S76" s="1">
        <v>0</v>
      </c>
      <c r="T76" s="1"/>
      <c r="W76" s="1">
        <v>36000</v>
      </c>
      <c r="X76" s="1">
        <v>0</v>
      </c>
      <c r="Y76" s="1">
        <v>0</v>
      </c>
      <c r="Z76" s="1"/>
      <c r="AB76" s="1">
        <v>36000</v>
      </c>
      <c r="AC76" s="1">
        <v>0</v>
      </c>
      <c r="AD76" s="1">
        <v>0</v>
      </c>
      <c r="AE76" s="1"/>
      <c r="AH76" s="1">
        <f t="shared" si="10"/>
        <v>3.6</v>
      </c>
      <c r="AI76" s="1">
        <f t="shared" si="11"/>
        <v>0</v>
      </c>
      <c r="AJ76" s="1">
        <f t="shared" si="12"/>
        <v>0</v>
      </c>
      <c r="AK76" s="1">
        <f t="shared" si="13"/>
        <v>0</v>
      </c>
      <c r="AL76" s="1">
        <f t="shared" si="14"/>
        <v>0</v>
      </c>
      <c r="AM76" s="1">
        <f t="shared" si="15"/>
        <v>0</v>
      </c>
      <c r="AN76" s="1">
        <f t="shared" si="16"/>
        <v>0</v>
      </c>
      <c r="AO76" s="1">
        <f t="shared" si="17"/>
        <v>0</v>
      </c>
    </row>
    <row r="77" spans="1:41" x14ac:dyDescent="0.35">
      <c r="A77" s="1">
        <v>36500</v>
      </c>
      <c r="B77" s="1">
        <v>0</v>
      </c>
      <c r="C77" s="1">
        <v>0</v>
      </c>
      <c r="D77" s="1">
        <f t="shared" si="9"/>
        <v>3.65</v>
      </c>
      <c r="E77" s="1"/>
      <c r="G77" s="1">
        <v>36500</v>
      </c>
      <c r="H77" s="1">
        <v>0</v>
      </c>
      <c r="I77" s="1">
        <v>0</v>
      </c>
      <c r="J77" s="1"/>
      <c r="L77" s="1">
        <v>36500</v>
      </c>
      <c r="M77" s="1">
        <v>0</v>
      </c>
      <c r="N77" s="1">
        <v>0</v>
      </c>
      <c r="O77" s="1"/>
      <c r="Q77" s="1">
        <v>36500</v>
      </c>
      <c r="R77" s="1">
        <v>0</v>
      </c>
      <c r="S77" s="1">
        <v>0</v>
      </c>
      <c r="T77" s="1"/>
      <c r="W77" s="1">
        <v>36500</v>
      </c>
      <c r="X77" s="1">
        <v>0</v>
      </c>
      <c r="Y77" s="1">
        <v>0</v>
      </c>
      <c r="Z77" s="1"/>
      <c r="AB77" s="1">
        <v>36500</v>
      </c>
      <c r="AC77" s="1">
        <v>0</v>
      </c>
      <c r="AD77" s="1">
        <v>0</v>
      </c>
      <c r="AE77" s="1"/>
      <c r="AH77" s="1">
        <f t="shared" si="10"/>
        <v>3.65</v>
      </c>
      <c r="AI77" s="1">
        <f t="shared" si="11"/>
        <v>0</v>
      </c>
      <c r="AJ77" s="1">
        <f t="shared" si="12"/>
        <v>0</v>
      </c>
      <c r="AK77" s="1">
        <f t="shared" si="13"/>
        <v>0</v>
      </c>
      <c r="AL77" s="1">
        <f t="shared" si="14"/>
        <v>0</v>
      </c>
      <c r="AM77" s="1">
        <f t="shared" si="15"/>
        <v>0</v>
      </c>
      <c r="AN77" s="1">
        <f t="shared" si="16"/>
        <v>0</v>
      </c>
      <c r="AO77" s="1">
        <f t="shared" si="17"/>
        <v>0</v>
      </c>
    </row>
    <row r="78" spans="1:41" x14ac:dyDescent="0.35">
      <c r="A78" s="1">
        <v>37000</v>
      </c>
      <c r="B78" s="1">
        <v>0</v>
      </c>
      <c r="C78" s="1">
        <v>0</v>
      </c>
      <c r="D78" s="1">
        <f t="shared" si="9"/>
        <v>3.7</v>
      </c>
      <c r="E78" s="1"/>
      <c r="G78" s="1">
        <v>37000</v>
      </c>
      <c r="H78" s="1">
        <v>0</v>
      </c>
      <c r="I78" s="1">
        <v>0</v>
      </c>
      <c r="J78" s="1"/>
      <c r="L78" s="1">
        <v>37000</v>
      </c>
      <c r="M78" s="1">
        <v>0</v>
      </c>
      <c r="N78" s="1">
        <v>0</v>
      </c>
      <c r="O78" s="1"/>
      <c r="Q78" s="1">
        <v>37000</v>
      </c>
      <c r="R78" s="1">
        <v>0</v>
      </c>
      <c r="S78" s="1">
        <v>0</v>
      </c>
      <c r="T78" s="1"/>
      <c r="W78" s="1">
        <v>37000</v>
      </c>
      <c r="X78" s="1">
        <v>0</v>
      </c>
      <c r="Y78" s="1">
        <v>0</v>
      </c>
      <c r="Z78" s="1"/>
      <c r="AB78" s="1">
        <v>37000</v>
      </c>
      <c r="AC78" s="1">
        <v>0</v>
      </c>
      <c r="AD78" s="1">
        <v>0</v>
      </c>
      <c r="AE78" s="1"/>
      <c r="AH78" s="1">
        <f t="shared" si="10"/>
        <v>3.7</v>
      </c>
      <c r="AI78" s="1">
        <f t="shared" si="11"/>
        <v>0</v>
      </c>
      <c r="AJ78" s="1">
        <f t="shared" si="12"/>
        <v>0</v>
      </c>
      <c r="AK78" s="1">
        <f t="shared" si="13"/>
        <v>0</v>
      </c>
      <c r="AL78" s="1">
        <f t="shared" si="14"/>
        <v>0</v>
      </c>
      <c r="AM78" s="1">
        <f t="shared" si="15"/>
        <v>0</v>
      </c>
      <c r="AN78" s="1">
        <f t="shared" si="16"/>
        <v>0</v>
      </c>
      <c r="AO78" s="1">
        <f t="shared" si="17"/>
        <v>0</v>
      </c>
    </row>
    <row r="79" spans="1:41" x14ac:dyDescent="0.35">
      <c r="A79" s="1">
        <v>37500</v>
      </c>
      <c r="B79" s="1">
        <v>0</v>
      </c>
      <c r="C79" s="1">
        <v>0</v>
      </c>
      <c r="D79" s="1">
        <f t="shared" si="9"/>
        <v>3.75</v>
      </c>
      <c r="E79" s="1"/>
      <c r="G79" s="1">
        <v>37500</v>
      </c>
      <c r="H79" s="1">
        <v>0</v>
      </c>
      <c r="I79" s="1">
        <v>0</v>
      </c>
      <c r="J79" s="1"/>
      <c r="L79" s="1">
        <v>37500</v>
      </c>
      <c r="M79" s="1">
        <v>0</v>
      </c>
      <c r="N79" s="1">
        <v>0</v>
      </c>
      <c r="O79" s="1"/>
      <c r="Q79" s="1">
        <v>37500</v>
      </c>
      <c r="R79" s="1">
        <v>0</v>
      </c>
      <c r="S79" s="1">
        <v>0</v>
      </c>
      <c r="T79" s="1"/>
      <c r="W79" s="1">
        <v>37500</v>
      </c>
      <c r="X79" s="1">
        <v>0</v>
      </c>
      <c r="Y79" s="1">
        <v>0</v>
      </c>
      <c r="Z79" s="1"/>
      <c r="AB79" s="1">
        <v>37500</v>
      </c>
      <c r="AC79" s="1">
        <v>0</v>
      </c>
      <c r="AD79" s="1">
        <v>0</v>
      </c>
      <c r="AE79" s="1"/>
      <c r="AH79" s="1">
        <f t="shared" si="10"/>
        <v>3.75</v>
      </c>
      <c r="AI79" s="1">
        <f t="shared" si="11"/>
        <v>0</v>
      </c>
      <c r="AJ79" s="1">
        <f t="shared" si="12"/>
        <v>0</v>
      </c>
      <c r="AK79" s="1">
        <f t="shared" si="13"/>
        <v>0</v>
      </c>
      <c r="AL79" s="1">
        <f t="shared" si="14"/>
        <v>0</v>
      </c>
      <c r="AM79" s="1">
        <f t="shared" si="15"/>
        <v>0</v>
      </c>
      <c r="AN79" s="1">
        <f t="shared" si="16"/>
        <v>0</v>
      </c>
      <c r="AO79" s="1">
        <f t="shared" si="17"/>
        <v>0</v>
      </c>
    </row>
    <row r="80" spans="1:41" x14ac:dyDescent="0.35">
      <c r="A80" s="1">
        <v>38000</v>
      </c>
      <c r="B80" s="1">
        <v>0</v>
      </c>
      <c r="C80" s="1">
        <v>0</v>
      </c>
      <c r="D80" s="1">
        <f t="shared" si="9"/>
        <v>3.8</v>
      </c>
      <c r="E80" s="1"/>
      <c r="G80" s="1">
        <v>38000</v>
      </c>
      <c r="H80" s="1">
        <v>0</v>
      </c>
      <c r="I80" s="1">
        <v>0</v>
      </c>
      <c r="J80" s="1"/>
      <c r="L80" s="1">
        <v>38000</v>
      </c>
      <c r="M80" s="1">
        <v>0</v>
      </c>
      <c r="N80" s="1">
        <v>0</v>
      </c>
      <c r="O80" s="1"/>
      <c r="Q80" s="1">
        <v>38000</v>
      </c>
      <c r="R80" s="1">
        <v>0</v>
      </c>
      <c r="S80" s="1">
        <v>0</v>
      </c>
      <c r="T80" s="1"/>
      <c r="W80" s="1">
        <v>38000</v>
      </c>
      <c r="X80" s="1">
        <v>0</v>
      </c>
      <c r="Y80" s="1">
        <v>0</v>
      </c>
      <c r="Z80" s="1"/>
      <c r="AB80" s="1">
        <v>38000</v>
      </c>
      <c r="AC80" s="1">
        <v>0</v>
      </c>
      <c r="AD80" s="1">
        <v>0</v>
      </c>
      <c r="AE80" s="1"/>
      <c r="AH80" s="1">
        <f t="shared" si="10"/>
        <v>3.8</v>
      </c>
      <c r="AI80" s="1">
        <f t="shared" si="11"/>
        <v>0</v>
      </c>
      <c r="AJ80" s="1">
        <f t="shared" si="12"/>
        <v>0</v>
      </c>
      <c r="AK80" s="1">
        <f t="shared" si="13"/>
        <v>0</v>
      </c>
      <c r="AL80" s="1">
        <f t="shared" si="14"/>
        <v>0</v>
      </c>
      <c r="AM80" s="1">
        <f t="shared" si="15"/>
        <v>0</v>
      </c>
      <c r="AN80" s="1">
        <f t="shared" si="16"/>
        <v>0</v>
      </c>
      <c r="AO80" s="1">
        <f t="shared" si="17"/>
        <v>0</v>
      </c>
    </row>
    <row r="81" spans="1:41" x14ac:dyDescent="0.35">
      <c r="A81" s="1">
        <v>38500</v>
      </c>
      <c r="B81" s="1">
        <v>0</v>
      </c>
      <c r="C81" s="1">
        <v>0</v>
      </c>
      <c r="D81" s="1">
        <f t="shared" si="9"/>
        <v>3.85</v>
      </c>
      <c r="E81" s="1"/>
      <c r="G81" s="1">
        <v>38500</v>
      </c>
      <c r="H81" s="1">
        <v>0</v>
      </c>
      <c r="I81" s="1">
        <v>0</v>
      </c>
      <c r="J81" s="1"/>
      <c r="L81" s="1">
        <v>38500</v>
      </c>
      <c r="M81" s="1">
        <v>0</v>
      </c>
      <c r="N81" s="1">
        <v>0</v>
      </c>
      <c r="O81" s="1"/>
      <c r="Q81" s="1">
        <v>38500</v>
      </c>
      <c r="R81" s="1">
        <v>0</v>
      </c>
      <c r="S81" s="1">
        <v>0</v>
      </c>
      <c r="T81" s="1"/>
      <c r="W81" s="1">
        <v>38500</v>
      </c>
      <c r="X81" s="1">
        <v>0</v>
      </c>
      <c r="Y81" s="1">
        <v>0</v>
      </c>
      <c r="Z81" s="1"/>
      <c r="AB81" s="1">
        <v>38500</v>
      </c>
      <c r="AC81" s="1">
        <v>0</v>
      </c>
      <c r="AD81" s="1">
        <v>0</v>
      </c>
      <c r="AE81" s="1"/>
      <c r="AH81" s="1">
        <f t="shared" si="10"/>
        <v>3.85</v>
      </c>
      <c r="AI81" s="1">
        <f t="shared" si="11"/>
        <v>0</v>
      </c>
      <c r="AJ81" s="1">
        <f t="shared" si="12"/>
        <v>0</v>
      </c>
      <c r="AK81" s="1">
        <f t="shared" si="13"/>
        <v>0</v>
      </c>
      <c r="AL81" s="1">
        <f t="shared" si="14"/>
        <v>0</v>
      </c>
      <c r="AM81" s="1">
        <f t="shared" si="15"/>
        <v>0</v>
      </c>
      <c r="AN81" s="1">
        <f t="shared" si="16"/>
        <v>0</v>
      </c>
      <c r="AO81" s="1">
        <f t="shared" si="17"/>
        <v>0</v>
      </c>
    </row>
    <row r="82" spans="1:41" x14ac:dyDescent="0.35">
      <c r="A82" s="1">
        <v>39000</v>
      </c>
      <c r="B82" s="1">
        <v>0</v>
      </c>
      <c r="C82" s="1">
        <v>0</v>
      </c>
      <c r="D82" s="1">
        <f t="shared" si="9"/>
        <v>3.9</v>
      </c>
      <c r="E82" s="1"/>
      <c r="G82" s="1">
        <v>39000</v>
      </c>
      <c r="H82" s="1">
        <v>0</v>
      </c>
      <c r="I82" s="1">
        <v>0</v>
      </c>
      <c r="J82" s="1"/>
      <c r="L82" s="1">
        <v>39000</v>
      </c>
      <c r="M82" s="1">
        <v>0</v>
      </c>
      <c r="N82" s="1">
        <v>0</v>
      </c>
      <c r="O82" s="1"/>
      <c r="Q82" s="1">
        <v>39000</v>
      </c>
      <c r="R82" s="1">
        <v>0</v>
      </c>
      <c r="S82" s="1">
        <v>0</v>
      </c>
      <c r="T82" s="1"/>
      <c r="W82" s="1">
        <v>39000</v>
      </c>
      <c r="X82" s="1">
        <v>0</v>
      </c>
      <c r="Y82" s="1">
        <v>0</v>
      </c>
      <c r="Z82" s="1"/>
      <c r="AB82" s="1">
        <v>39000</v>
      </c>
      <c r="AC82" s="1">
        <v>0</v>
      </c>
      <c r="AD82" s="1">
        <v>0</v>
      </c>
      <c r="AE82" s="1"/>
      <c r="AH82" s="1">
        <f t="shared" si="10"/>
        <v>3.9</v>
      </c>
      <c r="AI82" s="1">
        <f t="shared" si="11"/>
        <v>0</v>
      </c>
      <c r="AJ82" s="1">
        <f t="shared" si="12"/>
        <v>0</v>
      </c>
      <c r="AK82" s="1">
        <f t="shared" si="13"/>
        <v>0</v>
      </c>
      <c r="AL82" s="1">
        <f t="shared" si="14"/>
        <v>0</v>
      </c>
      <c r="AM82" s="1">
        <f t="shared" si="15"/>
        <v>0</v>
      </c>
      <c r="AN82" s="1">
        <f t="shared" si="16"/>
        <v>0</v>
      </c>
      <c r="AO82" s="1">
        <f t="shared" si="17"/>
        <v>0</v>
      </c>
    </row>
    <row r="83" spans="1:41" x14ac:dyDescent="0.35">
      <c r="A83" s="1">
        <v>39500</v>
      </c>
      <c r="B83" s="1">
        <v>0</v>
      </c>
      <c r="C83" s="1">
        <v>0</v>
      </c>
      <c r="D83" s="1">
        <f t="shared" si="9"/>
        <v>3.95</v>
      </c>
      <c r="E83" s="1"/>
      <c r="G83" s="1">
        <v>39500</v>
      </c>
      <c r="H83" s="1">
        <v>0</v>
      </c>
      <c r="I83" s="1">
        <v>0</v>
      </c>
      <c r="J83" s="1"/>
      <c r="L83" s="1">
        <v>39500</v>
      </c>
      <c r="M83" s="1">
        <v>0</v>
      </c>
      <c r="N83" s="1">
        <v>0</v>
      </c>
      <c r="O83" s="1"/>
      <c r="Q83" s="1">
        <v>39500</v>
      </c>
      <c r="R83" s="1">
        <v>0</v>
      </c>
      <c r="S83" s="1">
        <v>0</v>
      </c>
      <c r="T83" s="1"/>
      <c r="W83" s="1">
        <v>39500</v>
      </c>
      <c r="X83" s="1">
        <v>0</v>
      </c>
      <c r="Y83" s="1">
        <v>0</v>
      </c>
      <c r="Z83" s="1"/>
      <c r="AB83" s="1">
        <v>39500</v>
      </c>
      <c r="AC83" s="1">
        <v>0</v>
      </c>
      <c r="AD83" s="1">
        <v>0</v>
      </c>
      <c r="AE83" s="1"/>
      <c r="AH83" s="1">
        <f t="shared" si="10"/>
        <v>3.95</v>
      </c>
      <c r="AI83" s="1">
        <f t="shared" si="11"/>
        <v>0</v>
      </c>
      <c r="AJ83" s="1">
        <f t="shared" si="12"/>
        <v>0</v>
      </c>
      <c r="AK83" s="1">
        <f t="shared" si="13"/>
        <v>0</v>
      </c>
      <c r="AL83" s="1">
        <f t="shared" si="14"/>
        <v>0</v>
      </c>
      <c r="AM83" s="1">
        <f t="shared" si="15"/>
        <v>0</v>
      </c>
      <c r="AN83" s="1">
        <f t="shared" si="16"/>
        <v>0</v>
      </c>
      <c r="AO83" s="1">
        <f t="shared" si="17"/>
        <v>0</v>
      </c>
    </row>
    <row r="84" spans="1:41" x14ac:dyDescent="0.35">
      <c r="A84" s="1">
        <v>40000</v>
      </c>
      <c r="B84" s="1">
        <v>0</v>
      </c>
      <c r="C84" s="1">
        <v>0</v>
      </c>
      <c r="D84" s="1">
        <f t="shared" si="9"/>
        <v>4</v>
      </c>
      <c r="E84" s="1"/>
      <c r="G84" s="1">
        <v>40000</v>
      </c>
      <c r="H84" s="1">
        <v>0</v>
      </c>
      <c r="I84" s="1">
        <v>0</v>
      </c>
      <c r="J84" s="1"/>
      <c r="L84" s="1">
        <v>40000</v>
      </c>
      <c r="M84" s="1">
        <v>0</v>
      </c>
      <c r="N84" s="1">
        <v>0</v>
      </c>
      <c r="O84" s="1"/>
      <c r="Q84" s="1">
        <v>40000</v>
      </c>
      <c r="R84" s="1">
        <v>0</v>
      </c>
      <c r="S84" s="1">
        <v>0</v>
      </c>
      <c r="T84" s="1"/>
      <c r="W84" s="1">
        <v>40000</v>
      </c>
      <c r="X84" s="1">
        <v>0</v>
      </c>
      <c r="Y84" s="1">
        <v>0</v>
      </c>
      <c r="Z84" s="1"/>
      <c r="AB84" s="1">
        <v>40000</v>
      </c>
      <c r="AC84" s="1">
        <v>0</v>
      </c>
      <c r="AD84" s="1">
        <v>0</v>
      </c>
      <c r="AE84" s="1"/>
      <c r="AH84" s="1">
        <f t="shared" si="10"/>
        <v>4</v>
      </c>
      <c r="AI84" s="1">
        <f t="shared" si="11"/>
        <v>0</v>
      </c>
      <c r="AJ84" s="1">
        <f t="shared" si="12"/>
        <v>0</v>
      </c>
      <c r="AK84" s="1">
        <f t="shared" si="13"/>
        <v>0</v>
      </c>
      <c r="AL84" s="1">
        <f t="shared" si="14"/>
        <v>0</v>
      </c>
      <c r="AM84" s="1">
        <f t="shared" si="15"/>
        <v>0</v>
      </c>
      <c r="AN84" s="1">
        <f t="shared" si="16"/>
        <v>0</v>
      </c>
      <c r="AO84" s="1">
        <f t="shared" si="17"/>
        <v>0</v>
      </c>
    </row>
    <row r="85" spans="1:41" x14ac:dyDescent="0.35">
      <c r="A85" s="1">
        <v>40500</v>
      </c>
      <c r="B85" s="1">
        <v>0</v>
      </c>
      <c r="C85" s="1">
        <v>0</v>
      </c>
      <c r="D85" s="1">
        <f t="shared" si="9"/>
        <v>4.05</v>
      </c>
      <c r="E85" s="1"/>
      <c r="G85" s="1">
        <v>40500</v>
      </c>
      <c r="H85" s="1">
        <v>0</v>
      </c>
      <c r="I85" s="1">
        <v>0</v>
      </c>
      <c r="J85" s="1"/>
      <c r="L85" s="1">
        <v>40500</v>
      </c>
      <c r="M85" s="1">
        <v>0</v>
      </c>
      <c r="N85" s="1">
        <v>0</v>
      </c>
      <c r="O85" s="1"/>
      <c r="Q85" s="1">
        <v>40500</v>
      </c>
      <c r="R85" s="1">
        <v>0</v>
      </c>
      <c r="S85" s="1">
        <v>0</v>
      </c>
      <c r="T85" s="1"/>
      <c r="W85" s="1">
        <v>40500</v>
      </c>
      <c r="X85" s="1">
        <v>0</v>
      </c>
      <c r="Y85" s="1">
        <v>0</v>
      </c>
      <c r="Z85" s="1"/>
      <c r="AB85" s="1">
        <v>40500</v>
      </c>
      <c r="AC85" s="1">
        <v>0</v>
      </c>
      <c r="AD85" s="1">
        <v>0</v>
      </c>
      <c r="AE85" s="1"/>
      <c r="AH85" s="1">
        <f t="shared" si="10"/>
        <v>4.05</v>
      </c>
      <c r="AI85" s="1">
        <f t="shared" si="11"/>
        <v>0</v>
      </c>
      <c r="AJ85" s="1">
        <f t="shared" si="12"/>
        <v>0</v>
      </c>
      <c r="AK85" s="1">
        <f t="shared" si="13"/>
        <v>0</v>
      </c>
      <c r="AL85" s="1">
        <f t="shared" si="14"/>
        <v>0</v>
      </c>
      <c r="AM85" s="1">
        <f t="shared" si="15"/>
        <v>0</v>
      </c>
      <c r="AN85" s="1">
        <f t="shared" si="16"/>
        <v>0</v>
      </c>
      <c r="AO85" s="1">
        <f t="shared" si="17"/>
        <v>0</v>
      </c>
    </row>
    <row r="86" spans="1:41" x14ac:dyDescent="0.35">
      <c r="A86" s="1">
        <v>41000</v>
      </c>
      <c r="B86" s="1">
        <v>0</v>
      </c>
      <c r="C86" s="1">
        <v>0</v>
      </c>
      <c r="D86" s="1">
        <f t="shared" si="9"/>
        <v>4.0999999999999996</v>
      </c>
      <c r="E86" s="1"/>
      <c r="G86" s="1">
        <v>41000</v>
      </c>
      <c r="H86" s="1">
        <v>0</v>
      </c>
      <c r="I86" s="1">
        <v>0</v>
      </c>
      <c r="J86" s="1"/>
      <c r="L86" s="1">
        <v>41000</v>
      </c>
      <c r="M86" s="1">
        <v>0</v>
      </c>
      <c r="N86" s="1">
        <v>0</v>
      </c>
      <c r="O86" s="1"/>
      <c r="Q86" s="1">
        <v>41000</v>
      </c>
      <c r="R86" s="1">
        <v>0</v>
      </c>
      <c r="S86" s="1">
        <v>0</v>
      </c>
      <c r="T86" s="1"/>
      <c r="W86" s="1">
        <v>41000</v>
      </c>
      <c r="X86" s="1">
        <v>0</v>
      </c>
      <c r="Y86" s="1">
        <v>0</v>
      </c>
      <c r="Z86" s="1"/>
      <c r="AB86" s="1">
        <v>41000</v>
      </c>
      <c r="AC86" s="1">
        <v>0</v>
      </c>
      <c r="AD86" s="1">
        <v>0</v>
      </c>
      <c r="AE86" s="1"/>
      <c r="AH86" s="1">
        <f t="shared" si="10"/>
        <v>4.0999999999999996</v>
      </c>
      <c r="AI86" s="1">
        <f t="shared" si="11"/>
        <v>0</v>
      </c>
      <c r="AJ86" s="1">
        <f t="shared" si="12"/>
        <v>0</v>
      </c>
      <c r="AK86" s="1">
        <f t="shared" si="13"/>
        <v>0</v>
      </c>
      <c r="AL86" s="1">
        <f t="shared" si="14"/>
        <v>0</v>
      </c>
      <c r="AM86" s="1">
        <f t="shared" si="15"/>
        <v>0</v>
      </c>
      <c r="AN86" s="1">
        <f t="shared" si="16"/>
        <v>0</v>
      </c>
      <c r="AO86" s="1">
        <f t="shared" si="17"/>
        <v>0</v>
      </c>
    </row>
    <row r="87" spans="1:41" x14ac:dyDescent="0.35">
      <c r="A87" s="1">
        <v>41500</v>
      </c>
      <c r="B87" s="1">
        <v>0</v>
      </c>
      <c r="C87" s="1">
        <v>0</v>
      </c>
      <c r="D87" s="1">
        <f t="shared" si="9"/>
        <v>4.1500000000000004</v>
      </c>
      <c r="E87" s="1"/>
      <c r="G87" s="1">
        <v>41500</v>
      </c>
      <c r="H87" s="1">
        <v>0</v>
      </c>
      <c r="I87" s="1">
        <v>0</v>
      </c>
      <c r="J87" s="1"/>
      <c r="L87" s="1">
        <v>41500</v>
      </c>
      <c r="M87" s="1">
        <v>0</v>
      </c>
      <c r="N87" s="1">
        <v>0</v>
      </c>
      <c r="O87" s="1"/>
      <c r="Q87" s="1">
        <v>41500</v>
      </c>
      <c r="R87" s="1">
        <v>0</v>
      </c>
      <c r="S87" s="1">
        <v>0</v>
      </c>
      <c r="T87" s="1"/>
      <c r="W87" s="1">
        <v>41500</v>
      </c>
      <c r="X87" s="1">
        <v>0</v>
      </c>
      <c r="Y87" s="1">
        <v>0</v>
      </c>
      <c r="Z87" s="1"/>
      <c r="AB87" s="1">
        <v>41500</v>
      </c>
      <c r="AC87" s="1">
        <v>0</v>
      </c>
      <c r="AD87" s="1">
        <v>0</v>
      </c>
      <c r="AE87" s="1"/>
      <c r="AH87" s="1">
        <f t="shared" si="10"/>
        <v>4.1500000000000004</v>
      </c>
      <c r="AI87" s="1">
        <f t="shared" si="11"/>
        <v>0</v>
      </c>
      <c r="AJ87" s="1">
        <f t="shared" si="12"/>
        <v>0</v>
      </c>
      <c r="AK87" s="1">
        <f t="shared" si="13"/>
        <v>0</v>
      </c>
      <c r="AL87" s="1">
        <f t="shared" si="14"/>
        <v>0</v>
      </c>
      <c r="AM87" s="1">
        <f t="shared" si="15"/>
        <v>0</v>
      </c>
      <c r="AN87" s="1">
        <f t="shared" si="16"/>
        <v>0</v>
      </c>
      <c r="AO87" s="1">
        <f t="shared" si="17"/>
        <v>0</v>
      </c>
    </row>
    <row r="88" spans="1:41" x14ac:dyDescent="0.35">
      <c r="A88" s="1">
        <v>42000</v>
      </c>
      <c r="B88" s="1">
        <v>0</v>
      </c>
      <c r="C88" s="1">
        <v>0</v>
      </c>
      <c r="D88" s="1">
        <f t="shared" si="9"/>
        <v>4.2</v>
      </c>
      <c r="E88" s="1"/>
      <c r="G88" s="1">
        <v>42000</v>
      </c>
      <c r="H88" s="1">
        <v>0</v>
      </c>
      <c r="I88" s="1">
        <v>0</v>
      </c>
      <c r="J88" s="1"/>
      <c r="L88" s="1">
        <v>42000</v>
      </c>
      <c r="M88" s="1">
        <v>0</v>
      </c>
      <c r="N88" s="1">
        <v>0</v>
      </c>
      <c r="O88" s="1"/>
      <c r="Q88" s="1">
        <v>42000</v>
      </c>
      <c r="R88" s="1">
        <v>0</v>
      </c>
      <c r="S88" s="1">
        <v>0</v>
      </c>
      <c r="T88" s="1"/>
      <c r="W88" s="1">
        <v>42000</v>
      </c>
      <c r="X88" s="1">
        <v>0</v>
      </c>
      <c r="Y88" s="1">
        <v>0</v>
      </c>
      <c r="Z88" s="1"/>
      <c r="AB88" s="1">
        <v>42000</v>
      </c>
      <c r="AC88" s="1">
        <v>0</v>
      </c>
      <c r="AD88" s="1">
        <v>0</v>
      </c>
      <c r="AE88" s="1"/>
      <c r="AH88" s="1">
        <f t="shared" si="10"/>
        <v>4.2</v>
      </c>
      <c r="AI88" s="1">
        <f t="shared" si="11"/>
        <v>0</v>
      </c>
      <c r="AJ88" s="1">
        <f t="shared" si="12"/>
        <v>0</v>
      </c>
      <c r="AK88" s="1">
        <f t="shared" si="13"/>
        <v>0</v>
      </c>
      <c r="AL88" s="1">
        <f t="shared" si="14"/>
        <v>0</v>
      </c>
      <c r="AM88" s="1">
        <f t="shared" si="15"/>
        <v>0</v>
      </c>
      <c r="AN88" s="1">
        <f t="shared" si="16"/>
        <v>0</v>
      </c>
      <c r="AO88" s="1">
        <f t="shared" si="17"/>
        <v>0</v>
      </c>
    </row>
    <row r="89" spans="1:41" x14ac:dyDescent="0.35">
      <c r="A89" s="1">
        <v>42500</v>
      </c>
      <c r="B89" s="1">
        <v>0</v>
      </c>
      <c r="C89" s="1">
        <v>0</v>
      </c>
      <c r="D89" s="1">
        <f t="shared" si="9"/>
        <v>4.25</v>
      </c>
      <c r="E89" s="1"/>
      <c r="G89" s="1">
        <v>42500</v>
      </c>
      <c r="H89" s="1">
        <v>0</v>
      </c>
      <c r="I89" s="1">
        <v>0</v>
      </c>
      <c r="J89" s="1"/>
      <c r="L89" s="1">
        <v>42500</v>
      </c>
      <c r="M89" s="1">
        <v>0</v>
      </c>
      <c r="N89" s="1">
        <v>0</v>
      </c>
      <c r="O89" s="1"/>
      <c r="Q89" s="1">
        <v>42500</v>
      </c>
      <c r="R89" s="1">
        <v>0</v>
      </c>
      <c r="S89" s="1">
        <v>0</v>
      </c>
      <c r="T89" s="1"/>
      <c r="W89" s="1">
        <v>42500</v>
      </c>
      <c r="X89" s="1">
        <v>0</v>
      </c>
      <c r="Y89" s="1">
        <v>0</v>
      </c>
      <c r="Z89" s="1"/>
      <c r="AB89" s="1">
        <v>42500</v>
      </c>
      <c r="AC89" s="1">
        <v>0</v>
      </c>
      <c r="AD89" s="1">
        <v>0</v>
      </c>
      <c r="AE89" s="1"/>
      <c r="AH89" s="1">
        <f t="shared" si="10"/>
        <v>4.25</v>
      </c>
      <c r="AI89" s="1">
        <f t="shared" si="11"/>
        <v>0</v>
      </c>
      <c r="AJ89" s="1">
        <f t="shared" si="12"/>
        <v>0</v>
      </c>
      <c r="AK89" s="1">
        <f t="shared" si="13"/>
        <v>0</v>
      </c>
      <c r="AL89" s="1">
        <f t="shared" si="14"/>
        <v>0</v>
      </c>
      <c r="AM89" s="1">
        <f t="shared" si="15"/>
        <v>0</v>
      </c>
      <c r="AN89" s="1">
        <f t="shared" si="16"/>
        <v>0</v>
      </c>
      <c r="AO89" s="1">
        <f t="shared" si="17"/>
        <v>0</v>
      </c>
    </row>
    <row r="90" spans="1:41" x14ac:dyDescent="0.35">
      <c r="A90" s="1">
        <v>43000</v>
      </c>
      <c r="B90" s="1">
        <v>0</v>
      </c>
      <c r="C90" s="1">
        <v>0</v>
      </c>
      <c r="D90" s="1">
        <f t="shared" si="9"/>
        <v>4.3</v>
      </c>
      <c r="E90" s="1"/>
      <c r="G90" s="1">
        <v>43000</v>
      </c>
      <c r="H90" s="1">
        <v>0</v>
      </c>
      <c r="I90" s="1">
        <v>0</v>
      </c>
      <c r="J90" s="1"/>
      <c r="L90" s="1">
        <v>43000</v>
      </c>
      <c r="M90" s="1">
        <v>0</v>
      </c>
      <c r="N90" s="1">
        <v>0</v>
      </c>
      <c r="O90" s="1"/>
      <c r="Q90" s="1">
        <v>43000</v>
      </c>
      <c r="R90" s="1">
        <v>0</v>
      </c>
      <c r="S90" s="1">
        <v>0</v>
      </c>
      <c r="T90" s="1"/>
      <c r="W90" s="1">
        <v>43000</v>
      </c>
      <c r="X90" s="1">
        <v>0</v>
      </c>
      <c r="Y90" s="1">
        <v>0</v>
      </c>
      <c r="Z90" s="1"/>
      <c r="AB90" s="1">
        <v>43000</v>
      </c>
      <c r="AC90" s="1">
        <v>0</v>
      </c>
      <c r="AD90" s="1">
        <v>0</v>
      </c>
      <c r="AE90" s="1"/>
      <c r="AH90" s="1">
        <f t="shared" si="10"/>
        <v>4.3</v>
      </c>
      <c r="AI90" s="1">
        <f t="shared" si="11"/>
        <v>0</v>
      </c>
      <c r="AJ90" s="1">
        <f t="shared" si="12"/>
        <v>0</v>
      </c>
      <c r="AK90" s="1">
        <f t="shared" si="13"/>
        <v>0</v>
      </c>
      <c r="AL90" s="1">
        <f t="shared" si="14"/>
        <v>0</v>
      </c>
      <c r="AM90" s="1">
        <f t="shared" si="15"/>
        <v>0</v>
      </c>
      <c r="AN90" s="1">
        <f t="shared" si="16"/>
        <v>0</v>
      </c>
      <c r="AO90" s="1">
        <f t="shared" si="17"/>
        <v>0</v>
      </c>
    </row>
    <row r="91" spans="1:41" x14ac:dyDescent="0.35">
      <c r="A91" s="1">
        <v>43500</v>
      </c>
      <c r="B91" s="1">
        <v>0</v>
      </c>
      <c r="C91" s="1">
        <v>0</v>
      </c>
      <c r="D91" s="1">
        <f t="shared" si="9"/>
        <v>4.3499999999999996</v>
      </c>
      <c r="E91" s="1"/>
      <c r="G91" s="1">
        <v>43500</v>
      </c>
      <c r="H91" s="1">
        <v>0</v>
      </c>
      <c r="I91" s="1">
        <v>0</v>
      </c>
      <c r="J91" s="1"/>
      <c r="L91" s="1">
        <v>43500</v>
      </c>
      <c r="M91" s="1">
        <v>0</v>
      </c>
      <c r="N91" s="1">
        <v>0</v>
      </c>
      <c r="O91" s="1"/>
      <c r="Q91" s="1">
        <v>43500</v>
      </c>
      <c r="R91" s="1">
        <v>0</v>
      </c>
      <c r="S91" s="1">
        <v>0</v>
      </c>
      <c r="T91" s="1"/>
      <c r="W91" s="1">
        <v>43500</v>
      </c>
      <c r="X91" s="1">
        <v>0</v>
      </c>
      <c r="Y91" s="1">
        <v>0</v>
      </c>
      <c r="Z91" s="1"/>
      <c r="AB91" s="1">
        <v>43500</v>
      </c>
      <c r="AC91" s="1">
        <v>0</v>
      </c>
      <c r="AD91" s="1">
        <v>0</v>
      </c>
      <c r="AE91" s="1"/>
      <c r="AH91" s="1">
        <f t="shared" si="10"/>
        <v>4.3499999999999996</v>
      </c>
      <c r="AI91" s="1">
        <f t="shared" si="11"/>
        <v>0</v>
      </c>
      <c r="AJ91" s="1">
        <f t="shared" si="12"/>
        <v>0</v>
      </c>
      <c r="AK91" s="1">
        <f t="shared" si="13"/>
        <v>0</v>
      </c>
      <c r="AL91" s="1">
        <f t="shared" si="14"/>
        <v>0</v>
      </c>
      <c r="AM91" s="1">
        <f t="shared" si="15"/>
        <v>0</v>
      </c>
      <c r="AN91" s="1">
        <f t="shared" si="16"/>
        <v>0</v>
      </c>
      <c r="AO91" s="1">
        <f t="shared" si="17"/>
        <v>0</v>
      </c>
    </row>
    <row r="92" spans="1:41" x14ac:dyDescent="0.35">
      <c r="A92" s="1">
        <v>44000</v>
      </c>
      <c r="B92" s="1">
        <v>0</v>
      </c>
      <c r="C92" s="1">
        <v>0</v>
      </c>
      <c r="D92" s="1">
        <f t="shared" si="9"/>
        <v>4.4000000000000004</v>
      </c>
      <c r="E92" s="1"/>
      <c r="G92" s="1">
        <v>44000</v>
      </c>
      <c r="H92" s="1">
        <v>0</v>
      </c>
      <c r="I92" s="1">
        <v>0</v>
      </c>
      <c r="J92" s="1"/>
      <c r="L92" s="1">
        <v>44000</v>
      </c>
      <c r="M92" s="1">
        <v>0</v>
      </c>
      <c r="N92" s="1">
        <v>0</v>
      </c>
      <c r="O92" s="1"/>
      <c r="Q92" s="1">
        <v>44000</v>
      </c>
      <c r="R92" s="1">
        <v>0</v>
      </c>
      <c r="S92" s="1">
        <v>0</v>
      </c>
      <c r="T92" s="1"/>
      <c r="W92" s="1">
        <v>44000</v>
      </c>
      <c r="X92" s="1">
        <v>0</v>
      </c>
      <c r="Y92" s="1">
        <v>0</v>
      </c>
      <c r="Z92" s="1"/>
      <c r="AB92" s="1">
        <v>44000</v>
      </c>
      <c r="AC92" s="1">
        <v>0</v>
      </c>
      <c r="AD92" s="1">
        <v>0</v>
      </c>
      <c r="AE92" s="1"/>
      <c r="AH92" s="1">
        <f t="shared" si="10"/>
        <v>4.4000000000000004</v>
      </c>
      <c r="AI92" s="1">
        <f t="shared" si="11"/>
        <v>0</v>
      </c>
      <c r="AJ92" s="1">
        <f t="shared" si="12"/>
        <v>0</v>
      </c>
      <c r="AK92" s="1">
        <f t="shared" si="13"/>
        <v>0</v>
      </c>
      <c r="AL92" s="1">
        <f t="shared" si="14"/>
        <v>0</v>
      </c>
      <c r="AM92" s="1">
        <f t="shared" si="15"/>
        <v>0</v>
      </c>
      <c r="AN92" s="1">
        <f t="shared" si="16"/>
        <v>0</v>
      </c>
      <c r="AO92" s="1">
        <f t="shared" si="17"/>
        <v>0</v>
      </c>
    </row>
    <row r="93" spans="1:41" x14ac:dyDescent="0.35">
      <c r="A93" s="1">
        <v>44500</v>
      </c>
      <c r="B93" s="1">
        <v>0</v>
      </c>
      <c r="C93" s="1">
        <v>0</v>
      </c>
      <c r="D93" s="1">
        <f t="shared" si="9"/>
        <v>4.45</v>
      </c>
      <c r="E93" s="1"/>
      <c r="G93" s="1">
        <v>44500</v>
      </c>
      <c r="H93" s="1">
        <v>0</v>
      </c>
      <c r="I93" s="1">
        <v>0</v>
      </c>
      <c r="J93" s="1"/>
      <c r="L93" s="1">
        <v>44500</v>
      </c>
      <c r="M93" s="1">
        <v>0</v>
      </c>
      <c r="N93" s="1">
        <v>0</v>
      </c>
      <c r="O93" s="1"/>
      <c r="Q93" s="1">
        <v>44500</v>
      </c>
      <c r="R93" s="1">
        <v>0</v>
      </c>
      <c r="S93" s="1">
        <v>0</v>
      </c>
      <c r="T93" s="1"/>
      <c r="W93" s="1">
        <v>44500</v>
      </c>
      <c r="X93" s="1">
        <v>0</v>
      </c>
      <c r="Y93" s="1">
        <v>0</v>
      </c>
      <c r="Z93" s="1"/>
      <c r="AB93" s="1">
        <v>44500</v>
      </c>
      <c r="AC93" s="1">
        <v>0</v>
      </c>
      <c r="AD93" s="1">
        <v>0</v>
      </c>
      <c r="AE93" s="1"/>
      <c r="AH93" s="1">
        <f t="shared" si="10"/>
        <v>4.45</v>
      </c>
      <c r="AI93" s="1">
        <f t="shared" si="11"/>
        <v>0</v>
      </c>
      <c r="AJ93" s="1">
        <f t="shared" si="12"/>
        <v>0</v>
      </c>
      <c r="AK93" s="1">
        <f t="shared" si="13"/>
        <v>0</v>
      </c>
      <c r="AL93" s="1">
        <f t="shared" si="14"/>
        <v>0</v>
      </c>
      <c r="AM93" s="1">
        <f t="shared" si="15"/>
        <v>0</v>
      </c>
      <c r="AN93" s="1">
        <f t="shared" si="16"/>
        <v>0</v>
      </c>
      <c r="AO93" s="1">
        <f t="shared" si="17"/>
        <v>0</v>
      </c>
    </row>
    <row r="94" spans="1:41" x14ac:dyDescent="0.35">
      <c r="A94" s="1">
        <v>45000</v>
      </c>
      <c r="B94" s="1">
        <v>0</v>
      </c>
      <c r="C94" s="1">
        <v>0</v>
      </c>
      <c r="D94" s="1">
        <f t="shared" si="9"/>
        <v>4.5</v>
      </c>
      <c r="E94" s="1"/>
      <c r="G94" s="1">
        <v>45000</v>
      </c>
      <c r="H94" s="1">
        <v>0</v>
      </c>
      <c r="I94" s="1">
        <v>0</v>
      </c>
      <c r="J94" s="1"/>
      <c r="L94" s="1">
        <v>45000</v>
      </c>
      <c r="M94" s="1">
        <v>0</v>
      </c>
      <c r="N94" s="1">
        <v>0</v>
      </c>
      <c r="O94" s="1"/>
      <c r="Q94" s="1">
        <v>45000</v>
      </c>
      <c r="R94" s="1">
        <v>0</v>
      </c>
      <c r="S94" s="1">
        <v>0</v>
      </c>
      <c r="T94" s="1"/>
      <c r="W94" s="1">
        <v>45000</v>
      </c>
      <c r="X94" s="1">
        <v>0</v>
      </c>
      <c r="Y94" s="1">
        <v>0</v>
      </c>
      <c r="Z94" s="1"/>
      <c r="AB94" s="1">
        <v>45000</v>
      </c>
      <c r="AC94" s="1">
        <v>0</v>
      </c>
      <c r="AD94" s="1">
        <v>0</v>
      </c>
      <c r="AE94" s="1"/>
      <c r="AH94" s="1">
        <f t="shared" si="10"/>
        <v>4.5</v>
      </c>
      <c r="AI94" s="1">
        <f t="shared" si="11"/>
        <v>0</v>
      </c>
      <c r="AJ94" s="1">
        <f t="shared" si="12"/>
        <v>0</v>
      </c>
      <c r="AK94" s="1">
        <f t="shared" si="13"/>
        <v>0</v>
      </c>
      <c r="AL94" s="1">
        <f t="shared" si="14"/>
        <v>0</v>
      </c>
      <c r="AM94" s="1">
        <f t="shared" si="15"/>
        <v>0</v>
      </c>
      <c r="AN94" s="1">
        <f t="shared" si="16"/>
        <v>0</v>
      </c>
      <c r="AO94" s="1">
        <f t="shared" si="17"/>
        <v>0</v>
      </c>
    </row>
    <row r="95" spans="1:41" x14ac:dyDescent="0.35">
      <c r="A95" s="1">
        <v>45500</v>
      </c>
      <c r="B95" s="1">
        <v>0</v>
      </c>
      <c r="C95" s="1">
        <v>0</v>
      </c>
      <c r="D95" s="1">
        <f t="shared" si="9"/>
        <v>4.55</v>
      </c>
      <c r="E95" s="1"/>
      <c r="G95" s="1">
        <v>45500</v>
      </c>
      <c r="H95" s="1">
        <v>0</v>
      </c>
      <c r="I95" s="1">
        <v>0</v>
      </c>
      <c r="J95" s="1"/>
      <c r="L95" s="1">
        <v>45500</v>
      </c>
      <c r="M95" s="1">
        <v>0</v>
      </c>
      <c r="N95" s="1">
        <v>0</v>
      </c>
      <c r="O95" s="1"/>
      <c r="Q95" s="1">
        <v>45500</v>
      </c>
      <c r="R95" s="1">
        <v>0</v>
      </c>
      <c r="S95" s="1">
        <v>0</v>
      </c>
      <c r="T95" s="1"/>
      <c r="W95" s="1">
        <v>45500</v>
      </c>
      <c r="X95" s="1">
        <v>0</v>
      </c>
      <c r="Y95" s="1">
        <v>0</v>
      </c>
      <c r="Z95" s="1"/>
      <c r="AB95" s="1">
        <v>45500</v>
      </c>
      <c r="AC95" s="1">
        <v>0</v>
      </c>
      <c r="AD95" s="1">
        <v>0</v>
      </c>
      <c r="AE95" s="1"/>
      <c r="AH95" s="1">
        <f t="shared" si="10"/>
        <v>4.55</v>
      </c>
      <c r="AI95" s="1">
        <f t="shared" si="11"/>
        <v>0</v>
      </c>
      <c r="AJ95" s="1">
        <f t="shared" si="12"/>
        <v>0</v>
      </c>
      <c r="AK95" s="1">
        <f t="shared" si="13"/>
        <v>0</v>
      </c>
      <c r="AL95" s="1">
        <f t="shared" si="14"/>
        <v>0</v>
      </c>
      <c r="AM95" s="1">
        <f t="shared" si="15"/>
        <v>0</v>
      </c>
      <c r="AN95" s="1">
        <f t="shared" si="16"/>
        <v>0</v>
      </c>
      <c r="AO95" s="1">
        <f t="shared" si="17"/>
        <v>0</v>
      </c>
    </row>
    <row r="96" spans="1:41" x14ac:dyDescent="0.35">
      <c r="A96" s="1">
        <v>46000</v>
      </c>
      <c r="B96" s="1">
        <v>0</v>
      </c>
      <c r="C96" s="1">
        <v>0</v>
      </c>
      <c r="D96" s="1">
        <f t="shared" si="9"/>
        <v>4.5999999999999996</v>
      </c>
      <c r="E96" s="1"/>
      <c r="G96" s="1">
        <v>46000</v>
      </c>
      <c r="H96" s="1">
        <v>0</v>
      </c>
      <c r="I96" s="1">
        <v>0</v>
      </c>
      <c r="J96" s="1"/>
      <c r="L96" s="1">
        <v>46000</v>
      </c>
      <c r="M96" s="1">
        <v>0</v>
      </c>
      <c r="N96" s="1">
        <v>0</v>
      </c>
      <c r="O96" s="1"/>
      <c r="Q96" s="1">
        <v>46000</v>
      </c>
      <c r="R96" s="1">
        <v>0</v>
      </c>
      <c r="S96" s="1">
        <v>0</v>
      </c>
      <c r="T96" s="1"/>
      <c r="W96" s="1">
        <v>46000</v>
      </c>
      <c r="X96" s="1">
        <v>0</v>
      </c>
      <c r="Y96" s="1">
        <v>0</v>
      </c>
      <c r="Z96" s="1"/>
      <c r="AB96" s="1">
        <v>46000</v>
      </c>
      <c r="AC96" s="1">
        <v>0</v>
      </c>
      <c r="AD96" s="1">
        <v>0</v>
      </c>
      <c r="AE96" s="1"/>
      <c r="AH96" s="1">
        <f t="shared" si="10"/>
        <v>4.5999999999999996</v>
      </c>
      <c r="AI96" s="1">
        <f t="shared" si="11"/>
        <v>0</v>
      </c>
      <c r="AJ96" s="1">
        <f t="shared" si="12"/>
        <v>0</v>
      </c>
      <c r="AK96" s="1">
        <f t="shared" si="13"/>
        <v>0</v>
      </c>
      <c r="AL96" s="1">
        <f t="shared" si="14"/>
        <v>0</v>
      </c>
      <c r="AM96" s="1">
        <f t="shared" si="15"/>
        <v>0</v>
      </c>
      <c r="AN96" s="1">
        <f t="shared" si="16"/>
        <v>0</v>
      </c>
      <c r="AO96" s="1">
        <f t="shared" si="17"/>
        <v>0</v>
      </c>
    </row>
    <row r="97" spans="1:41" x14ac:dyDescent="0.35">
      <c r="A97" s="1">
        <v>46500</v>
      </c>
      <c r="B97" s="1">
        <v>0</v>
      </c>
      <c r="C97" s="1">
        <v>0</v>
      </c>
      <c r="D97" s="1">
        <f t="shared" si="9"/>
        <v>4.6500000000000004</v>
      </c>
      <c r="E97" s="1"/>
      <c r="G97" s="1">
        <v>46500</v>
      </c>
      <c r="H97" s="1">
        <v>0</v>
      </c>
      <c r="I97" s="1">
        <v>0</v>
      </c>
      <c r="J97" s="1"/>
      <c r="L97" s="1">
        <v>46500</v>
      </c>
      <c r="M97" s="1">
        <v>0</v>
      </c>
      <c r="N97" s="1">
        <v>0</v>
      </c>
      <c r="O97" s="1"/>
      <c r="Q97" s="1">
        <v>46500</v>
      </c>
      <c r="R97" s="1">
        <v>0</v>
      </c>
      <c r="S97" s="1">
        <v>0</v>
      </c>
      <c r="T97" s="1"/>
      <c r="W97" s="1">
        <v>46500</v>
      </c>
      <c r="X97" s="1">
        <v>0</v>
      </c>
      <c r="Y97" s="1">
        <v>0</v>
      </c>
      <c r="Z97" s="1"/>
      <c r="AB97" s="1">
        <v>46500</v>
      </c>
      <c r="AC97" s="1">
        <v>0</v>
      </c>
      <c r="AD97" s="1">
        <v>0</v>
      </c>
      <c r="AE97" s="1"/>
      <c r="AH97" s="1">
        <f t="shared" si="10"/>
        <v>4.6500000000000004</v>
      </c>
      <c r="AI97" s="1">
        <f t="shared" si="11"/>
        <v>0</v>
      </c>
      <c r="AJ97" s="1">
        <f t="shared" si="12"/>
        <v>0</v>
      </c>
      <c r="AK97" s="1">
        <f t="shared" si="13"/>
        <v>0</v>
      </c>
      <c r="AL97" s="1">
        <f t="shared" si="14"/>
        <v>0</v>
      </c>
      <c r="AM97" s="1">
        <f t="shared" si="15"/>
        <v>0</v>
      </c>
      <c r="AN97" s="1">
        <f t="shared" si="16"/>
        <v>0</v>
      </c>
      <c r="AO97" s="1">
        <f t="shared" si="17"/>
        <v>0</v>
      </c>
    </row>
    <row r="98" spans="1:41" x14ac:dyDescent="0.35">
      <c r="A98" s="1">
        <v>47000</v>
      </c>
      <c r="B98" s="1">
        <v>0</v>
      </c>
      <c r="C98" s="1">
        <v>0</v>
      </c>
      <c r="D98" s="1">
        <f t="shared" si="9"/>
        <v>4.7</v>
      </c>
      <c r="E98" s="1"/>
      <c r="G98" s="1">
        <v>47000</v>
      </c>
      <c r="H98" s="1">
        <v>0</v>
      </c>
      <c r="I98" s="1">
        <v>0</v>
      </c>
      <c r="J98" s="1"/>
      <c r="L98" s="1">
        <v>47000</v>
      </c>
      <c r="M98" s="1">
        <v>0</v>
      </c>
      <c r="N98" s="1">
        <v>0</v>
      </c>
      <c r="O98" s="1"/>
      <c r="Q98" s="1">
        <v>47000</v>
      </c>
      <c r="R98" s="1">
        <v>0</v>
      </c>
      <c r="S98" s="1">
        <v>0</v>
      </c>
      <c r="T98" s="1"/>
      <c r="W98" s="1">
        <v>47000</v>
      </c>
      <c r="X98" s="1">
        <v>0</v>
      </c>
      <c r="Y98" s="1">
        <v>0</v>
      </c>
      <c r="Z98" s="1"/>
      <c r="AB98" s="1">
        <v>47000</v>
      </c>
      <c r="AC98" s="1">
        <v>0</v>
      </c>
      <c r="AD98" s="1">
        <v>0</v>
      </c>
      <c r="AE98" s="1"/>
      <c r="AH98" s="1">
        <f t="shared" si="10"/>
        <v>4.7</v>
      </c>
      <c r="AI98" s="1">
        <f t="shared" si="11"/>
        <v>0</v>
      </c>
      <c r="AJ98" s="1">
        <f t="shared" si="12"/>
        <v>0</v>
      </c>
      <c r="AK98" s="1">
        <f t="shared" si="13"/>
        <v>0</v>
      </c>
      <c r="AL98" s="1">
        <f t="shared" si="14"/>
        <v>0</v>
      </c>
      <c r="AM98" s="1">
        <f t="shared" si="15"/>
        <v>0</v>
      </c>
      <c r="AN98" s="1">
        <f t="shared" si="16"/>
        <v>0</v>
      </c>
      <c r="AO98" s="1">
        <f t="shared" si="17"/>
        <v>0</v>
      </c>
    </row>
    <row r="99" spans="1:41" x14ac:dyDescent="0.35">
      <c r="A99" s="1">
        <v>47500</v>
      </c>
      <c r="B99" s="1">
        <v>0</v>
      </c>
      <c r="C99" s="1">
        <v>0</v>
      </c>
      <c r="D99" s="1">
        <f t="shared" si="9"/>
        <v>4.75</v>
      </c>
      <c r="E99" s="1"/>
      <c r="G99" s="1">
        <v>47500</v>
      </c>
      <c r="H99" s="1">
        <v>0</v>
      </c>
      <c r="I99" s="1">
        <v>0</v>
      </c>
      <c r="J99" s="1"/>
      <c r="L99" s="1">
        <v>47500</v>
      </c>
      <c r="M99" s="1">
        <v>0</v>
      </c>
      <c r="N99" s="1">
        <v>0</v>
      </c>
      <c r="O99" s="1"/>
      <c r="Q99" s="1">
        <v>47500</v>
      </c>
      <c r="R99" s="1">
        <v>0</v>
      </c>
      <c r="S99" s="1">
        <v>0</v>
      </c>
      <c r="T99" s="1"/>
      <c r="W99" s="1">
        <v>47500</v>
      </c>
      <c r="X99" s="1">
        <v>0</v>
      </c>
      <c r="Y99" s="1">
        <v>0</v>
      </c>
      <c r="Z99" s="1"/>
      <c r="AB99" s="1">
        <v>47500</v>
      </c>
      <c r="AC99" s="1">
        <v>0</v>
      </c>
      <c r="AD99" s="1">
        <v>0</v>
      </c>
      <c r="AE99" s="1"/>
      <c r="AH99" s="1">
        <f t="shared" si="10"/>
        <v>4.75</v>
      </c>
      <c r="AI99" s="1">
        <f t="shared" si="11"/>
        <v>0</v>
      </c>
      <c r="AJ99" s="1">
        <f t="shared" si="12"/>
        <v>0</v>
      </c>
      <c r="AK99" s="1">
        <f t="shared" si="13"/>
        <v>0</v>
      </c>
      <c r="AL99" s="1">
        <f t="shared" si="14"/>
        <v>0</v>
      </c>
      <c r="AM99" s="1">
        <f t="shared" si="15"/>
        <v>0</v>
      </c>
      <c r="AN99" s="1">
        <f t="shared" si="16"/>
        <v>0</v>
      </c>
      <c r="AO99" s="1">
        <f t="shared" si="17"/>
        <v>0</v>
      </c>
    </row>
    <row r="100" spans="1:41" x14ac:dyDescent="0.35">
      <c r="A100" s="1">
        <v>48000</v>
      </c>
      <c r="B100" s="1">
        <v>0</v>
      </c>
      <c r="C100" s="1">
        <v>0</v>
      </c>
      <c r="D100" s="1">
        <f t="shared" si="9"/>
        <v>4.8</v>
      </c>
      <c r="E100" s="1"/>
      <c r="G100" s="1">
        <v>48000</v>
      </c>
      <c r="H100" s="1">
        <v>0</v>
      </c>
      <c r="I100" s="1">
        <v>0</v>
      </c>
      <c r="J100" s="1"/>
      <c r="L100" s="1">
        <v>48000</v>
      </c>
      <c r="M100" s="1">
        <v>0</v>
      </c>
      <c r="N100" s="1">
        <v>0</v>
      </c>
      <c r="O100" s="1"/>
      <c r="Q100" s="1">
        <v>48000</v>
      </c>
      <c r="R100" s="1">
        <v>0</v>
      </c>
      <c r="S100" s="1">
        <v>0</v>
      </c>
      <c r="T100" s="1"/>
      <c r="W100" s="1">
        <v>48000</v>
      </c>
      <c r="X100" s="1">
        <v>0</v>
      </c>
      <c r="Y100" s="1">
        <v>0</v>
      </c>
      <c r="Z100" s="1"/>
      <c r="AB100" s="1">
        <v>48000</v>
      </c>
      <c r="AC100" s="1">
        <v>0</v>
      </c>
      <c r="AD100" s="1">
        <v>0</v>
      </c>
      <c r="AE100" s="1"/>
      <c r="AH100" s="1">
        <f t="shared" si="10"/>
        <v>4.8</v>
      </c>
      <c r="AI100" s="1">
        <f t="shared" si="11"/>
        <v>0</v>
      </c>
      <c r="AJ100" s="1">
        <f t="shared" si="12"/>
        <v>0</v>
      </c>
      <c r="AK100" s="1">
        <f t="shared" si="13"/>
        <v>0</v>
      </c>
      <c r="AL100" s="1">
        <f t="shared" si="14"/>
        <v>0</v>
      </c>
      <c r="AM100" s="1">
        <f t="shared" si="15"/>
        <v>0</v>
      </c>
      <c r="AN100" s="1">
        <f t="shared" si="16"/>
        <v>0</v>
      </c>
      <c r="AO100" s="1">
        <f t="shared" si="17"/>
        <v>0</v>
      </c>
    </row>
    <row r="101" spans="1:41" x14ac:dyDescent="0.35">
      <c r="A101" s="1">
        <v>48500</v>
      </c>
      <c r="B101" s="1">
        <v>0</v>
      </c>
      <c r="C101" s="1">
        <v>0</v>
      </c>
      <c r="D101" s="1">
        <f t="shared" si="9"/>
        <v>4.8499999999999996</v>
      </c>
      <c r="E101" s="1"/>
      <c r="G101" s="1">
        <v>48500</v>
      </c>
      <c r="H101" s="1">
        <v>0</v>
      </c>
      <c r="I101" s="1">
        <v>0</v>
      </c>
      <c r="J101" s="1"/>
      <c r="L101" s="1">
        <v>48500</v>
      </c>
      <c r="M101" s="1">
        <v>0</v>
      </c>
      <c r="N101" s="1">
        <v>0</v>
      </c>
      <c r="O101" s="1"/>
      <c r="Q101" s="1">
        <v>48500</v>
      </c>
      <c r="R101" s="1">
        <v>0</v>
      </c>
      <c r="S101" s="1">
        <v>0</v>
      </c>
      <c r="T101" s="1"/>
      <c r="W101" s="1">
        <v>48500</v>
      </c>
      <c r="X101" s="1">
        <v>0</v>
      </c>
      <c r="Y101" s="1">
        <v>0</v>
      </c>
      <c r="Z101" s="1"/>
      <c r="AB101" s="1">
        <v>48500</v>
      </c>
      <c r="AC101" s="1">
        <v>0</v>
      </c>
      <c r="AD101" s="1">
        <v>0</v>
      </c>
      <c r="AE101" s="1"/>
      <c r="AH101" s="1">
        <f t="shared" si="10"/>
        <v>4.8499999999999996</v>
      </c>
      <c r="AI101" s="1">
        <f t="shared" si="11"/>
        <v>0</v>
      </c>
      <c r="AJ101" s="1">
        <f t="shared" si="12"/>
        <v>0</v>
      </c>
      <c r="AK101" s="1">
        <f t="shared" si="13"/>
        <v>0</v>
      </c>
      <c r="AL101" s="1">
        <f t="shared" si="14"/>
        <v>0</v>
      </c>
      <c r="AM101" s="1">
        <f t="shared" si="15"/>
        <v>0</v>
      </c>
      <c r="AN101" s="1">
        <f t="shared" si="16"/>
        <v>0</v>
      </c>
      <c r="AO101" s="1">
        <f t="shared" si="17"/>
        <v>0</v>
      </c>
    </row>
    <row r="102" spans="1:41" x14ac:dyDescent="0.35">
      <c r="A102" s="1">
        <v>49000</v>
      </c>
      <c r="B102" s="1">
        <v>0</v>
      </c>
      <c r="C102" s="1">
        <v>0</v>
      </c>
      <c r="D102" s="1">
        <f t="shared" si="9"/>
        <v>4.9000000000000004</v>
      </c>
      <c r="E102" s="1"/>
      <c r="G102" s="1">
        <v>49000</v>
      </c>
      <c r="H102" s="1">
        <v>0</v>
      </c>
      <c r="I102" s="1">
        <v>0</v>
      </c>
      <c r="J102" s="1"/>
      <c r="L102" s="1">
        <v>49000</v>
      </c>
      <c r="M102" s="1">
        <v>0</v>
      </c>
      <c r="N102" s="1">
        <v>0</v>
      </c>
      <c r="O102" s="1"/>
      <c r="Q102" s="1">
        <v>49000</v>
      </c>
      <c r="R102" s="1">
        <v>0</v>
      </c>
      <c r="S102" s="1">
        <v>0</v>
      </c>
      <c r="T102" s="1"/>
      <c r="W102" s="1">
        <v>49000</v>
      </c>
      <c r="X102" s="1">
        <v>0</v>
      </c>
      <c r="Y102" s="1">
        <v>0</v>
      </c>
      <c r="Z102" s="1"/>
      <c r="AB102" s="1">
        <v>49000</v>
      </c>
      <c r="AC102" s="1">
        <v>0</v>
      </c>
      <c r="AD102" s="1">
        <v>0</v>
      </c>
      <c r="AE102" s="1"/>
      <c r="AH102" s="1">
        <f t="shared" si="10"/>
        <v>4.9000000000000004</v>
      </c>
      <c r="AI102" s="1">
        <f t="shared" si="11"/>
        <v>0</v>
      </c>
      <c r="AJ102" s="1">
        <f t="shared" si="12"/>
        <v>0</v>
      </c>
      <c r="AK102" s="1">
        <f t="shared" si="13"/>
        <v>0</v>
      </c>
      <c r="AL102" s="1">
        <f t="shared" si="14"/>
        <v>0</v>
      </c>
      <c r="AM102" s="1">
        <f t="shared" si="15"/>
        <v>0</v>
      </c>
      <c r="AN102" s="1">
        <f t="shared" si="16"/>
        <v>0</v>
      </c>
      <c r="AO102" s="1">
        <f t="shared" si="17"/>
        <v>0</v>
      </c>
    </row>
    <row r="103" spans="1:41" x14ac:dyDescent="0.35">
      <c r="A103" s="1">
        <v>49500</v>
      </c>
      <c r="B103" s="1">
        <v>0</v>
      </c>
      <c r="C103" s="1">
        <v>0</v>
      </c>
      <c r="D103" s="1">
        <f t="shared" si="9"/>
        <v>4.95</v>
      </c>
      <c r="E103" s="1"/>
      <c r="G103" s="1">
        <v>49500</v>
      </c>
      <c r="H103" s="1">
        <v>0</v>
      </c>
      <c r="I103" s="1">
        <v>0</v>
      </c>
      <c r="J103" s="1"/>
      <c r="L103" s="1">
        <v>49500</v>
      </c>
      <c r="M103" s="1">
        <v>0</v>
      </c>
      <c r="N103" s="1">
        <v>0</v>
      </c>
      <c r="O103" s="1"/>
      <c r="Q103" s="1">
        <v>49500</v>
      </c>
      <c r="R103" s="1">
        <v>0</v>
      </c>
      <c r="S103" s="1">
        <v>0</v>
      </c>
      <c r="T103" s="1"/>
      <c r="W103" s="1">
        <v>49500</v>
      </c>
      <c r="X103" s="1">
        <v>0</v>
      </c>
      <c r="Y103" s="1">
        <v>0</v>
      </c>
      <c r="Z103" s="1"/>
      <c r="AB103" s="1">
        <v>49500</v>
      </c>
      <c r="AC103" s="1">
        <v>0</v>
      </c>
      <c r="AD103" s="1">
        <v>0</v>
      </c>
      <c r="AE103" s="1"/>
      <c r="AH103" s="1">
        <f t="shared" si="10"/>
        <v>4.95</v>
      </c>
      <c r="AI103" s="1">
        <f t="shared" si="11"/>
        <v>0</v>
      </c>
      <c r="AJ103" s="1">
        <f t="shared" si="12"/>
        <v>0</v>
      </c>
      <c r="AK103" s="1">
        <f t="shared" si="13"/>
        <v>0</v>
      </c>
      <c r="AL103" s="1">
        <f t="shared" si="14"/>
        <v>0</v>
      </c>
      <c r="AM103" s="1">
        <f t="shared" si="15"/>
        <v>0</v>
      </c>
      <c r="AN103" s="1">
        <f t="shared" si="16"/>
        <v>0</v>
      </c>
      <c r="AO103" s="1">
        <f t="shared" si="17"/>
        <v>0</v>
      </c>
    </row>
    <row r="104" spans="1:41" x14ac:dyDescent="0.35">
      <c r="A104" s="1">
        <v>50000</v>
      </c>
      <c r="B104" s="1">
        <v>0</v>
      </c>
      <c r="C104" s="1">
        <v>0</v>
      </c>
      <c r="D104" s="1">
        <f t="shared" si="9"/>
        <v>5</v>
      </c>
      <c r="E104" s="1"/>
      <c r="G104" s="1">
        <v>50000</v>
      </c>
      <c r="H104" s="1">
        <v>0</v>
      </c>
      <c r="I104" s="1">
        <v>0</v>
      </c>
      <c r="J104" s="1"/>
      <c r="L104" s="1">
        <v>50000</v>
      </c>
      <c r="M104" s="1">
        <v>0</v>
      </c>
      <c r="N104" s="1">
        <v>0</v>
      </c>
      <c r="O104" s="1"/>
      <c r="Q104" s="1">
        <v>50000</v>
      </c>
      <c r="R104" s="1">
        <v>0</v>
      </c>
      <c r="S104" s="1">
        <v>0</v>
      </c>
      <c r="T104" s="1"/>
      <c r="W104" s="1">
        <v>50000</v>
      </c>
      <c r="X104" s="1">
        <v>0</v>
      </c>
      <c r="Y104" s="1">
        <v>0</v>
      </c>
      <c r="Z104" s="1"/>
      <c r="AB104" s="1">
        <v>50000</v>
      </c>
      <c r="AC104" s="1">
        <v>0</v>
      </c>
      <c r="AD104" s="1">
        <v>0</v>
      </c>
      <c r="AE104" s="1"/>
      <c r="AH104" s="1">
        <f t="shared" si="10"/>
        <v>5</v>
      </c>
      <c r="AI104" s="1">
        <f t="shared" si="11"/>
        <v>0</v>
      </c>
      <c r="AJ104" s="1">
        <f t="shared" si="12"/>
        <v>0</v>
      </c>
      <c r="AK104" s="1">
        <f t="shared" si="13"/>
        <v>0</v>
      </c>
      <c r="AL104" s="1">
        <f t="shared" si="14"/>
        <v>0</v>
      </c>
      <c r="AM104" s="1">
        <f t="shared" si="15"/>
        <v>0</v>
      </c>
      <c r="AN104" s="1">
        <f t="shared" si="16"/>
        <v>0</v>
      </c>
      <c r="AO104" s="1">
        <f t="shared" si="17"/>
        <v>0</v>
      </c>
    </row>
    <row r="105" spans="1:41" x14ac:dyDescent="0.35">
      <c r="AB105" s="1"/>
      <c r="AC105" s="1"/>
      <c r="AD10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8A7C-E7BB-4CC5-B32A-BBC933AC11F9}">
  <dimension ref="A1:AO107"/>
  <sheetViews>
    <sheetView tabSelected="1" topLeftCell="C1" workbookViewId="0">
      <selection activeCell="V31" sqref="V31"/>
    </sheetView>
  </sheetViews>
  <sheetFormatPr defaultRowHeight="14.5" x14ac:dyDescent="0.35"/>
  <sheetData>
    <row r="1" spans="1:41" x14ac:dyDescent="0.35">
      <c r="C1" t="s">
        <v>12</v>
      </c>
      <c r="H1" t="s">
        <v>18</v>
      </c>
      <c r="M1" t="s">
        <v>19</v>
      </c>
      <c r="S1" t="s">
        <v>20</v>
      </c>
      <c r="Y1" t="s">
        <v>21</v>
      </c>
      <c r="AE1" t="s">
        <v>22</v>
      </c>
      <c r="AH1" t="s">
        <v>25</v>
      </c>
      <c r="AI1">
        <f>2.5*10^15</f>
        <v>2500000000000000</v>
      </c>
    </row>
    <row r="2" spans="1:41" x14ac:dyDescent="0.35">
      <c r="A2" t="s">
        <v>2</v>
      </c>
      <c r="B2" t="s">
        <v>13</v>
      </c>
      <c r="C2" t="s">
        <v>13</v>
      </c>
      <c r="F2" t="s">
        <v>2</v>
      </c>
      <c r="G2" t="s">
        <v>13</v>
      </c>
      <c r="H2" t="s">
        <v>13</v>
      </c>
      <c r="K2" t="s">
        <v>2</v>
      </c>
      <c r="L2" t="s">
        <v>13</v>
      </c>
      <c r="M2" t="s">
        <v>13</v>
      </c>
      <c r="Q2" t="s">
        <v>2</v>
      </c>
      <c r="R2" t="s">
        <v>13</v>
      </c>
      <c r="S2" t="s">
        <v>13</v>
      </c>
      <c r="W2" t="s">
        <v>2</v>
      </c>
      <c r="X2" t="s">
        <v>13</v>
      </c>
      <c r="Y2" t="s">
        <v>13</v>
      </c>
      <c r="AC2" t="s">
        <v>2</v>
      </c>
      <c r="AD2" t="s">
        <v>13</v>
      </c>
      <c r="AE2" t="s">
        <v>13</v>
      </c>
    </row>
    <row r="3" spans="1:41" x14ac:dyDescent="0.35">
      <c r="A3" t="s">
        <v>6</v>
      </c>
      <c r="B3" t="s">
        <v>14</v>
      </c>
      <c r="C3" t="s">
        <v>14</v>
      </c>
      <c r="F3" t="s">
        <v>6</v>
      </c>
      <c r="G3" t="s">
        <v>14</v>
      </c>
      <c r="H3" t="s">
        <v>14</v>
      </c>
      <c r="K3" t="s">
        <v>6</v>
      </c>
      <c r="L3" t="s">
        <v>14</v>
      </c>
      <c r="M3" t="s">
        <v>14</v>
      </c>
      <c r="Q3" t="s">
        <v>6</v>
      </c>
      <c r="R3" t="s">
        <v>14</v>
      </c>
      <c r="S3" t="s">
        <v>14</v>
      </c>
      <c r="W3" t="s">
        <v>6</v>
      </c>
      <c r="X3" t="s">
        <v>14</v>
      </c>
      <c r="Y3" t="s">
        <v>14</v>
      </c>
      <c r="AC3" t="s">
        <v>6</v>
      </c>
      <c r="AD3" t="s">
        <v>14</v>
      </c>
      <c r="AE3" t="s">
        <v>14</v>
      </c>
    </row>
    <row r="4" spans="1:41" x14ac:dyDescent="0.35">
      <c r="A4" t="s">
        <v>8</v>
      </c>
      <c r="B4" t="s">
        <v>15</v>
      </c>
      <c r="C4" t="s">
        <v>0</v>
      </c>
      <c r="F4" t="s">
        <v>8</v>
      </c>
      <c r="G4" t="s">
        <v>15</v>
      </c>
      <c r="H4" t="s">
        <v>0</v>
      </c>
      <c r="K4" t="s">
        <v>8</v>
      </c>
      <c r="L4" t="s">
        <v>15</v>
      </c>
      <c r="M4" t="s">
        <v>0</v>
      </c>
      <c r="Q4" t="s">
        <v>8</v>
      </c>
      <c r="R4" t="s">
        <v>15</v>
      </c>
      <c r="S4" t="s">
        <v>0</v>
      </c>
      <c r="W4" t="s">
        <v>8</v>
      </c>
      <c r="X4" t="s">
        <v>15</v>
      </c>
      <c r="Y4" t="s">
        <v>0</v>
      </c>
      <c r="AC4" t="s">
        <v>8</v>
      </c>
      <c r="AD4" t="s">
        <v>15</v>
      </c>
      <c r="AE4" t="s">
        <v>0</v>
      </c>
    </row>
    <row r="5" spans="1:41" x14ac:dyDescent="0.35">
      <c r="A5" t="s">
        <v>9</v>
      </c>
      <c r="B5" t="s">
        <v>9</v>
      </c>
      <c r="C5" t="s">
        <v>11</v>
      </c>
      <c r="F5" t="s">
        <v>9</v>
      </c>
      <c r="G5" t="s">
        <v>9</v>
      </c>
      <c r="H5" t="s">
        <v>11</v>
      </c>
      <c r="K5" t="s">
        <v>9</v>
      </c>
      <c r="L5" t="s">
        <v>9</v>
      </c>
      <c r="M5" t="s">
        <v>11</v>
      </c>
      <c r="Q5" t="s">
        <v>9</v>
      </c>
      <c r="R5" t="s">
        <v>9</v>
      </c>
      <c r="S5" t="s">
        <v>11</v>
      </c>
      <c r="W5" t="s">
        <v>9</v>
      </c>
      <c r="X5" t="s">
        <v>9</v>
      </c>
      <c r="Y5" t="s">
        <v>11</v>
      </c>
      <c r="AC5" t="s">
        <v>9</v>
      </c>
      <c r="AD5" t="s">
        <v>9</v>
      </c>
      <c r="AE5" t="s">
        <v>11</v>
      </c>
      <c r="AH5" t="s">
        <v>24</v>
      </c>
      <c r="AI5">
        <v>145</v>
      </c>
      <c r="AJ5">
        <v>325</v>
      </c>
      <c r="AK5">
        <v>625</v>
      </c>
      <c r="AL5">
        <v>925</v>
      </c>
      <c r="AM5">
        <v>1225</v>
      </c>
      <c r="AN5">
        <v>1525</v>
      </c>
      <c r="AO5" t="s">
        <v>3</v>
      </c>
    </row>
    <row r="6" spans="1:41" x14ac:dyDescent="0.35">
      <c r="A6" s="1">
        <v>500.01</v>
      </c>
      <c r="B6" s="1">
        <v>1.0069E-3</v>
      </c>
      <c r="C6" s="1">
        <v>2.2854799999999999E-3</v>
      </c>
      <c r="D6" s="1">
        <f>B6+C6</f>
        <v>3.2923800000000001E-3</v>
      </c>
      <c r="F6" s="1">
        <v>500.01</v>
      </c>
      <c r="G6" s="1">
        <v>4.1384899999999999E-4</v>
      </c>
      <c r="H6" s="1">
        <v>8.1063100000000003E-4</v>
      </c>
      <c r="I6" s="1">
        <f>G6+H6</f>
        <v>1.22448E-3</v>
      </c>
      <c r="K6" s="1">
        <v>500.01</v>
      </c>
      <c r="L6" s="1">
        <v>1.9221700000000001E-4</v>
      </c>
      <c r="M6" s="1">
        <v>3.5087600000000002E-4</v>
      </c>
      <c r="N6" s="1">
        <f>L6+M6</f>
        <v>5.4309300000000003E-4</v>
      </c>
      <c r="Q6" s="1">
        <v>500.01</v>
      </c>
      <c r="R6" s="1">
        <v>1.2207099999999999E-4</v>
      </c>
      <c r="S6" s="1">
        <v>3.2685899999999998E-4</v>
      </c>
      <c r="T6" s="1">
        <f>R6+S6</f>
        <v>4.4892999999999995E-4</v>
      </c>
      <c r="W6" s="1">
        <v>500.01</v>
      </c>
      <c r="X6" s="1">
        <v>7.6947700000000002E-5</v>
      </c>
      <c r="Y6" s="1">
        <v>2.1545700000000001E-4</v>
      </c>
      <c r="Z6" s="1">
        <f>X6+Y6</f>
        <v>2.9240470000000004E-4</v>
      </c>
      <c r="AC6" s="1">
        <v>500.01</v>
      </c>
      <c r="AD6" s="1">
        <v>5.1646E-5</v>
      </c>
      <c r="AE6" s="1">
        <v>1.2071E-4</v>
      </c>
      <c r="AF6" s="1">
        <f>AD6+AE6</f>
        <v>1.72356E-4</v>
      </c>
      <c r="AH6" s="1">
        <f>F6/10000</f>
        <v>5.0000999999999997E-2</v>
      </c>
      <c r="AI6" s="1">
        <f>D6*10^8*$AI$1/8.38/10^22</f>
        <v>9.8221360381861578E-3</v>
      </c>
      <c r="AJ6" s="1">
        <f>I6*10^8*$AI$1/8.38/10^22</f>
        <v>3.6529832935560855E-3</v>
      </c>
      <c r="AK6" s="1">
        <f>N6*10^8*$AI$1/8.38/10^22</f>
        <v>1.62020584725537E-3</v>
      </c>
      <c r="AL6" s="1">
        <f>T6*10^8*$AI$1/8.38/10^22</f>
        <v>1.3392899761336514E-3</v>
      </c>
      <c r="AM6" s="1">
        <f>Z6*10^8*$AI$1/8.38/10^22</f>
        <v>8.7232905727923629E-4</v>
      </c>
      <c r="AN6" s="1">
        <f>AF6*10^8*$AI$1/8.38/10^22</f>
        <v>5.1418854415274451E-4</v>
      </c>
    </row>
    <row r="7" spans="1:41" x14ac:dyDescent="0.35">
      <c r="A7" s="1">
        <v>1000.01</v>
      </c>
      <c r="B7" s="1">
        <v>1.45341E-3</v>
      </c>
      <c r="C7" s="1">
        <v>3.36864E-3</v>
      </c>
      <c r="D7" s="1">
        <f t="shared" ref="D7:D70" si="0">B7+C7</f>
        <v>4.8220499999999996E-3</v>
      </c>
      <c r="F7" s="1">
        <v>1000.01</v>
      </c>
      <c r="G7" s="1">
        <v>6.3289800000000001E-4</v>
      </c>
      <c r="H7" s="1">
        <v>1.6882500000000001E-3</v>
      </c>
      <c r="I7" s="1">
        <f t="shared" ref="I7:I70" si="1">G7+H7</f>
        <v>2.3211480000000003E-3</v>
      </c>
      <c r="K7" s="1">
        <v>1000.01</v>
      </c>
      <c r="L7" s="1">
        <v>3.0110100000000002E-4</v>
      </c>
      <c r="M7" s="1">
        <v>9.5395300000000001E-4</v>
      </c>
      <c r="N7" s="1">
        <f t="shared" ref="N7:N70" si="2">L7+M7</f>
        <v>1.255054E-3</v>
      </c>
      <c r="Q7" s="1">
        <v>1000.01</v>
      </c>
      <c r="R7" s="1">
        <v>1.9265299999999999E-4</v>
      </c>
      <c r="S7" s="1">
        <v>3.6642899999999998E-4</v>
      </c>
      <c r="T7" s="1">
        <f t="shared" ref="T7:T70" si="3">R7+S7</f>
        <v>5.5908200000000003E-4</v>
      </c>
      <c r="W7" s="1">
        <v>1000.01</v>
      </c>
      <c r="X7" s="1">
        <v>1.44277E-4</v>
      </c>
      <c r="Y7" s="1">
        <v>3.8166799999999999E-4</v>
      </c>
      <c r="Z7" s="1">
        <f t="shared" ref="Z7:Z70" si="4">X7+Y7</f>
        <v>5.2594499999999999E-4</v>
      </c>
      <c r="AC7" s="1">
        <v>1000.01</v>
      </c>
      <c r="AD7" s="1">
        <v>1.2926600000000001E-4</v>
      </c>
      <c r="AE7" s="1">
        <v>2.4285499999999999E-4</v>
      </c>
      <c r="AF7" s="1">
        <f t="shared" ref="AF7:AF70" si="5">AD7+AE7</f>
        <v>3.72121E-4</v>
      </c>
      <c r="AH7" s="1">
        <f t="shared" ref="AH7:AH70" si="6">F7/10000</f>
        <v>0.10000099999999999</v>
      </c>
      <c r="AI7" s="1">
        <f t="shared" ref="AI7:AI70" si="7">D7*10^8*$AI$1/8.38/10^22</f>
        <v>1.4385590692124101E-2</v>
      </c>
      <c r="AJ7" s="1">
        <f t="shared" ref="AJ7:AJ70" si="8">I7*10^8*$AI$1/8.38/10^22</f>
        <v>6.9246658711217181E-3</v>
      </c>
      <c r="AK7" s="1">
        <f t="shared" ref="AK7:AK70" si="9">N7*10^8*$AI$1/8.38/10^22</f>
        <v>3.7441945107398564E-3</v>
      </c>
      <c r="AL7" s="1">
        <f t="shared" ref="AL7:AL70" si="10">T7*10^8*$AI$1/8.38/10^22</f>
        <v>1.6679057279236278E-3</v>
      </c>
      <c r="AM7" s="1">
        <f t="shared" ref="AM7:AM70" si="11">Z7*10^8*$AI$1/8.38/10^22</f>
        <v>1.5690483293556083E-3</v>
      </c>
      <c r="AN7" s="1">
        <f t="shared" ref="AN7:AN70" si="12">AF7*10^8*$AI$1/8.38/10^22</f>
        <v>1.1101461813842479E-3</v>
      </c>
    </row>
    <row r="8" spans="1:41" x14ac:dyDescent="0.35">
      <c r="A8" s="1">
        <v>1500.01</v>
      </c>
      <c r="B8" s="1">
        <v>1.8631699999999999E-3</v>
      </c>
      <c r="C8" s="1">
        <v>3.8919900000000001E-3</v>
      </c>
      <c r="D8" s="1">
        <f t="shared" si="0"/>
        <v>5.7551600000000005E-3</v>
      </c>
      <c r="F8" s="1">
        <v>1500.01</v>
      </c>
      <c r="G8" s="1">
        <v>6.9244200000000004E-4</v>
      </c>
      <c r="H8" s="1">
        <v>2.0236999999999998E-3</v>
      </c>
      <c r="I8" s="1">
        <f t="shared" si="1"/>
        <v>2.7161419999999999E-3</v>
      </c>
      <c r="K8" s="1">
        <v>1500.01</v>
      </c>
      <c r="L8" s="1">
        <v>3.4669799999999999E-4</v>
      </c>
      <c r="M8" s="1">
        <v>6.9353000000000004E-4</v>
      </c>
      <c r="N8" s="1">
        <f t="shared" si="2"/>
        <v>1.040228E-3</v>
      </c>
      <c r="Q8" s="1">
        <v>1500.01</v>
      </c>
      <c r="R8" s="1">
        <v>2.2736499999999999E-4</v>
      </c>
      <c r="S8" s="1">
        <v>4.4474100000000002E-4</v>
      </c>
      <c r="T8" s="1">
        <f t="shared" si="3"/>
        <v>6.7210600000000001E-4</v>
      </c>
      <c r="W8" s="1">
        <v>1500.01</v>
      </c>
      <c r="X8" s="1">
        <v>1.7633899999999999E-4</v>
      </c>
      <c r="Y8" s="1">
        <v>6.1923999999999996E-4</v>
      </c>
      <c r="Z8" s="1">
        <f t="shared" si="4"/>
        <v>7.9557899999999993E-4</v>
      </c>
      <c r="AC8" s="1">
        <v>1500.01</v>
      </c>
      <c r="AD8" s="1">
        <v>1.13863E-4</v>
      </c>
      <c r="AE8" s="1">
        <v>1.43409E-4</v>
      </c>
      <c r="AF8" s="1">
        <f t="shared" si="5"/>
        <v>2.5727200000000001E-4</v>
      </c>
      <c r="AH8" s="1">
        <f t="shared" si="6"/>
        <v>0.150001</v>
      </c>
      <c r="AI8" s="1">
        <f t="shared" si="7"/>
        <v>1.7169331742243436E-2</v>
      </c>
      <c r="AJ8" s="1">
        <f t="shared" si="8"/>
        <v>8.1030489260143206E-3</v>
      </c>
      <c r="AK8" s="1">
        <f t="shared" si="9"/>
        <v>3.103305489260143E-3</v>
      </c>
      <c r="AL8" s="1">
        <f t="shared" si="10"/>
        <v>2.0050894988066824E-3</v>
      </c>
      <c r="AM8" s="1">
        <f t="shared" si="11"/>
        <v>2.3734457040572787E-3</v>
      </c>
      <c r="AN8" s="1">
        <f t="shared" si="12"/>
        <v>7.675178997613364E-4</v>
      </c>
    </row>
    <row r="9" spans="1:41" x14ac:dyDescent="0.35">
      <c r="A9" s="1">
        <v>2000.01</v>
      </c>
      <c r="B9" s="1">
        <v>2.4541599999999999E-3</v>
      </c>
      <c r="C9" s="1">
        <v>5.34338E-3</v>
      </c>
      <c r="D9" s="1">
        <f t="shared" si="0"/>
        <v>7.7975400000000004E-3</v>
      </c>
      <c r="F9" s="1">
        <v>2000.01</v>
      </c>
      <c r="G9" s="1">
        <v>7.6761400000000001E-4</v>
      </c>
      <c r="H9" s="1">
        <v>1.73869E-3</v>
      </c>
      <c r="I9" s="1">
        <f t="shared" si="1"/>
        <v>2.506304E-3</v>
      </c>
      <c r="K9" s="1">
        <v>2000.01</v>
      </c>
      <c r="L9" s="1">
        <v>3.8128899999999999E-4</v>
      </c>
      <c r="M9" s="1">
        <v>1.07267E-3</v>
      </c>
      <c r="N9" s="1">
        <f t="shared" si="2"/>
        <v>1.4539589999999999E-3</v>
      </c>
      <c r="Q9" s="1">
        <v>2000.01</v>
      </c>
      <c r="R9" s="1">
        <v>2.3893499999999999E-4</v>
      </c>
      <c r="S9" s="1">
        <v>3.6446999999999998E-4</v>
      </c>
      <c r="T9" s="1">
        <f t="shared" si="3"/>
        <v>6.03405E-4</v>
      </c>
      <c r="W9" s="1">
        <v>2000.01</v>
      </c>
      <c r="X9" s="1">
        <v>1.9493399999999999E-4</v>
      </c>
      <c r="Y9" s="1">
        <v>3.8856200000000001E-4</v>
      </c>
      <c r="Z9" s="1">
        <f t="shared" si="4"/>
        <v>5.8349599999999997E-4</v>
      </c>
      <c r="AC9" s="1">
        <v>2000.01</v>
      </c>
      <c r="AD9" s="1">
        <v>1.5222E-4</v>
      </c>
      <c r="AE9" s="1">
        <v>3.7690899999999998E-4</v>
      </c>
      <c r="AF9" s="1">
        <f t="shared" si="5"/>
        <v>5.2912899999999993E-4</v>
      </c>
      <c r="AH9" s="1">
        <f t="shared" si="6"/>
        <v>0.20000100000000001</v>
      </c>
      <c r="AI9" s="1">
        <f t="shared" si="7"/>
        <v>2.3262350835322194E-2</v>
      </c>
      <c r="AJ9" s="1">
        <f t="shared" si="8"/>
        <v>7.4770405727923621E-3</v>
      </c>
      <c r="AK9" s="1">
        <f t="shared" si="9"/>
        <v>4.3375865155131262E-3</v>
      </c>
      <c r="AL9" s="1">
        <f t="shared" si="10"/>
        <v>1.8001342482100236E-3</v>
      </c>
      <c r="AM9" s="1">
        <f t="shared" si="11"/>
        <v>1.7407398568019092E-3</v>
      </c>
      <c r="AN9" s="1">
        <f t="shared" si="12"/>
        <v>1.5785471360381859E-3</v>
      </c>
    </row>
    <row r="10" spans="1:41" x14ac:dyDescent="0.35">
      <c r="A10" s="1">
        <v>2500.0100000000002</v>
      </c>
      <c r="B10" s="1">
        <v>3.4283600000000001E-3</v>
      </c>
      <c r="C10" s="1">
        <v>6.2084200000000001E-3</v>
      </c>
      <c r="D10" s="1">
        <f t="shared" si="0"/>
        <v>9.636780000000001E-3</v>
      </c>
      <c r="F10" s="1">
        <v>2500.0100000000002</v>
      </c>
      <c r="G10" s="1">
        <v>8.9451699999999995E-4</v>
      </c>
      <c r="H10" s="1">
        <v>2.50527E-3</v>
      </c>
      <c r="I10" s="1">
        <f t="shared" si="1"/>
        <v>3.399787E-3</v>
      </c>
      <c r="K10" s="1">
        <v>2500.0100000000002</v>
      </c>
      <c r="L10" s="1">
        <v>4.0762600000000002E-4</v>
      </c>
      <c r="M10" s="1">
        <v>8.7338100000000001E-4</v>
      </c>
      <c r="N10" s="1">
        <f t="shared" si="2"/>
        <v>1.281007E-3</v>
      </c>
      <c r="Q10" s="1">
        <v>2500.0100000000002</v>
      </c>
      <c r="R10" s="1">
        <v>2.5455600000000002E-4</v>
      </c>
      <c r="S10" s="1">
        <v>6.4661099999999995E-4</v>
      </c>
      <c r="T10" s="1">
        <f t="shared" si="3"/>
        <v>9.0116700000000003E-4</v>
      </c>
      <c r="W10" s="1">
        <v>2500.0100000000002</v>
      </c>
      <c r="X10" s="1">
        <v>1.83392E-4</v>
      </c>
      <c r="Y10" s="1">
        <v>2.3198399999999999E-4</v>
      </c>
      <c r="Z10" s="1">
        <f t="shared" si="4"/>
        <v>4.1537599999999996E-4</v>
      </c>
      <c r="AC10" s="1">
        <v>2500.0100000000002</v>
      </c>
      <c r="AD10" s="1">
        <v>1.37723E-4</v>
      </c>
      <c r="AE10" s="1">
        <v>2.5387899999999999E-4</v>
      </c>
      <c r="AF10" s="1">
        <f t="shared" si="5"/>
        <v>3.9160200000000001E-4</v>
      </c>
      <c r="AH10" s="1">
        <f t="shared" si="6"/>
        <v>0.25000100000000003</v>
      </c>
      <c r="AI10" s="1">
        <f t="shared" si="7"/>
        <v>2.8749343675417656E-2</v>
      </c>
      <c r="AJ10" s="1">
        <f t="shared" si="8"/>
        <v>1.0142562649164678E-2</v>
      </c>
      <c r="AK10" s="1">
        <f t="shared" si="9"/>
        <v>3.8216199284009543E-3</v>
      </c>
      <c r="AL10" s="1">
        <f t="shared" si="10"/>
        <v>2.6884457040572793E-3</v>
      </c>
      <c r="AM10" s="1">
        <f t="shared" si="11"/>
        <v>1.2391885441527446E-3</v>
      </c>
      <c r="AN10" s="1">
        <f t="shared" si="12"/>
        <v>1.1682637231503581E-3</v>
      </c>
    </row>
    <row r="11" spans="1:41" x14ac:dyDescent="0.35">
      <c r="A11" s="1">
        <v>3000.01</v>
      </c>
      <c r="B11" s="1">
        <v>5.0624199999999998E-3</v>
      </c>
      <c r="C11" s="1">
        <v>7.9238899999999994E-3</v>
      </c>
      <c r="D11" s="1">
        <f t="shared" si="0"/>
        <v>1.2986309999999999E-2</v>
      </c>
      <c r="F11" s="1">
        <v>3000.01</v>
      </c>
      <c r="G11" s="1">
        <v>1.0413600000000001E-3</v>
      </c>
      <c r="H11" s="1">
        <v>2.1714299999999998E-3</v>
      </c>
      <c r="I11" s="1">
        <f t="shared" si="1"/>
        <v>3.2127900000000001E-3</v>
      </c>
      <c r="K11" s="1">
        <v>3000.01</v>
      </c>
      <c r="L11" s="1">
        <v>4.3474799999999999E-4</v>
      </c>
      <c r="M11" s="1">
        <v>1.87367E-3</v>
      </c>
      <c r="N11" s="1">
        <f t="shared" si="2"/>
        <v>2.308418E-3</v>
      </c>
      <c r="Q11" s="1">
        <v>3000.01</v>
      </c>
      <c r="R11" s="1">
        <v>2.4298500000000001E-4</v>
      </c>
      <c r="S11" s="1">
        <v>5.1757599999999995E-4</v>
      </c>
      <c r="T11" s="1">
        <f t="shared" si="3"/>
        <v>7.6056099999999998E-4</v>
      </c>
      <c r="W11" s="1">
        <v>3000.01</v>
      </c>
      <c r="X11" s="1">
        <v>1.88522E-4</v>
      </c>
      <c r="Y11" s="1">
        <v>3.42639E-4</v>
      </c>
      <c r="Z11" s="1">
        <f t="shared" si="4"/>
        <v>5.3116100000000005E-4</v>
      </c>
      <c r="AC11" s="1">
        <v>3000.01</v>
      </c>
      <c r="AD11" s="1">
        <v>1.56448E-4</v>
      </c>
      <c r="AE11" s="1">
        <v>2.2269600000000001E-4</v>
      </c>
      <c r="AF11" s="1">
        <f t="shared" si="5"/>
        <v>3.7914399999999999E-4</v>
      </c>
      <c r="AH11" s="1">
        <f t="shared" si="6"/>
        <v>0.30000100000000002</v>
      </c>
      <c r="AI11" s="1">
        <f t="shared" si="7"/>
        <v>3.8741974940334122E-2</v>
      </c>
      <c r="AJ11" s="1">
        <f t="shared" si="8"/>
        <v>9.5846957040572785E-3</v>
      </c>
      <c r="AK11" s="1">
        <f t="shared" si="9"/>
        <v>6.8866885441527439E-3</v>
      </c>
      <c r="AL11" s="1">
        <f t="shared" si="10"/>
        <v>2.2689767303102626E-3</v>
      </c>
      <c r="AM11" s="1">
        <f t="shared" si="11"/>
        <v>1.5846091885441528E-3</v>
      </c>
      <c r="AN11" s="1">
        <f t="shared" si="12"/>
        <v>1.1310978520286394E-3</v>
      </c>
    </row>
    <row r="12" spans="1:41" x14ac:dyDescent="0.35">
      <c r="A12" s="1">
        <v>3500.01</v>
      </c>
      <c r="B12" s="1">
        <v>7.3785400000000003E-3</v>
      </c>
      <c r="C12" s="1">
        <v>1.0452899999999999E-2</v>
      </c>
      <c r="D12" s="1">
        <f t="shared" si="0"/>
        <v>1.783144E-2</v>
      </c>
      <c r="F12" s="1">
        <v>3500.01</v>
      </c>
      <c r="G12" s="1">
        <v>1.2102899999999999E-3</v>
      </c>
      <c r="H12" s="1">
        <v>2.8101100000000002E-3</v>
      </c>
      <c r="I12" s="1">
        <f t="shared" si="1"/>
        <v>4.0204000000000004E-3</v>
      </c>
      <c r="K12" s="1">
        <v>3500.01</v>
      </c>
      <c r="L12" s="1">
        <v>4.7995299999999998E-4</v>
      </c>
      <c r="M12" s="1">
        <v>1.1283E-3</v>
      </c>
      <c r="N12" s="1">
        <f t="shared" si="2"/>
        <v>1.608253E-3</v>
      </c>
      <c r="Q12" s="1">
        <v>3500.01</v>
      </c>
      <c r="R12" s="1">
        <v>2.9331799999999999E-4</v>
      </c>
      <c r="S12" s="1">
        <v>6.2828799999999996E-4</v>
      </c>
      <c r="T12" s="1">
        <f t="shared" si="3"/>
        <v>9.2160599999999994E-4</v>
      </c>
      <c r="W12" s="1">
        <v>3500.01</v>
      </c>
      <c r="X12" s="1">
        <v>2.0006399999999999E-4</v>
      </c>
      <c r="Y12" s="1">
        <v>5.7592400000000001E-4</v>
      </c>
      <c r="Z12" s="1">
        <f t="shared" si="4"/>
        <v>7.7598800000000002E-4</v>
      </c>
      <c r="AC12" s="1">
        <v>3500.01</v>
      </c>
      <c r="AD12" s="1">
        <v>1.54334E-4</v>
      </c>
      <c r="AE12" s="1">
        <v>3.4580899999999998E-4</v>
      </c>
      <c r="AF12" s="1">
        <f t="shared" si="5"/>
        <v>5.0014299999999999E-4</v>
      </c>
      <c r="AH12" s="1">
        <f t="shared" si="6"/>
        <v>0.35000100000000001</v>
      </c>
      <c r="AI12" s="1">
        <f t="shared" si="7"/>
        <v>5.3196420047732687E-2</v>
      </c>
      <c r="AJ12" s="1">
        <f t="shared" si="8"/>
        <v>1.1994033412887829E-2</v>
      </c>
      <c r="AK12" s="1">
        <f t="shared" si="9"/>
        <v>4.7978908114558469E-3</v>
      </c>
      <c r="AL12" s="1">
        <f t="shared" si="10"/>
        <v>2.7494212410501188E-3</v>
      </c>
      <c r="AM12" s="1">
        <f t="shared" si="11"/>
        <v>2.3149999999999998E-3</v>
      </c>
      <c r="AN12" s="1">
        <f t="shared" si="12"/>
        <v>1.4920733890214795E-3</v>
      </c>
    </row>
    <row r="13" spans="1:41" x14ac:dyDescent="0.35">
      <c r="A13" s="1">
        <v>4000.01</v>
      </c>
      <c r="B13" s="1">
        <v>9.5624899999999999E-3</v>
      </c>
      <c r="C13" s="1">
        <v>1.1564400000000001E-2</v>
      </c>
      <c r="D13" s="1">
        <f t="shared" si="0"/>
        <v>2.1126890000000002E-2</v>
      </c>
      <c r="F13" s="1">
        <v>4000.01</v>
      </c>
      <c r="G13" s="1">
        <v>1.50128E-3</v>
      </c>
      <c r="H13" s="1">
        <v>3.3864400000000001E-3</v>
      </c>
      <c r="I13" s="1">
        <f t="shared" si="1"/>
        <v>4.8877199999999999E-3</v>
      </c>
      <c r="K13" s="1">
        <v>4000.01</v>
      </c>
      <c r="L13" s="1">
        <v>5.0668200000000005E-4</v>
      </c>
      <c r="M13" s="1">
        <v>1.3237100000000001E-3</v>
      </c>
      <c r="N13" s="1">
        <f t="shared" si="2"/>
        <v>1.8303920000000001E-3</v>
      </c>
      <c r="Q13" s="1">
        <v>4000.01</v>
      </c>
      <c r="R13" s="1">
        <v>2.8521800000000001E-4</v>
      </c>
      <c r="S13" s="1">
        <v>5.02127E-4</v>
      </c>
      <c r="T13" s="1">
        <f t="shared" si="3"/>
        <v>7.8734500000000006E-4</v>
      </c>
      <c r="W13" s="1">
        <v>4000.01</v>
      </c>
      <c r="X13" s="1">
        <v>2.0904100000000001E-4</v>
      </c>
      <c r="Y13" s="1">
        <v>6.8775200000000002E-4</v>
      </c>
      <c r="Z13" s="1">
        <f t="shared" si="4"/>
        <v>8.96793E-4</v>
      </c>
      <c r="AC13" s="1">
        <v>4000.01</v>
      </c>
      <c r="AD13" s="1">
        <v>1.4980399999999999E-4</v>
      </c>
      <c r="AE13" s="1">
        <v>5.1079200000000004E-4</v>
      </c>
      <c r="AF13" s="1">
        <f t="shared" si="5"/>
        <v>6.6059600000000006E-4</v>
      </c>
      <c r="AH13" s="1">
        <f t="shared" si="6"/>
        <v>0.400001</v>
      </c>
      <c r="AI13" s="1">
        <f t="shared" si="7"/>
        <v>6.302771479713605E-2</v>
      </c>
      <c r="AJ13" s="1">
        <f t="shared" si="8"/>
        <v>1.4581503579952266E-2</v>
      </c>
      <c r="AK13" s="1">
        <f t="shared" si="9"/>
        <v>5.4605966587112174E-3</v>
      </c>
      <c r="AL13" s="1">
        <f t="shared" si="10"/>
        <v>2.3488812649164674E-3</v>
      </c>
      <c r="AM13" s="1">
        <f t="shared" si="11"/>
        <v>2.6753967780429591E-3</v>
      </c>
      <c r="AN13" s="1">
        <f t="shared" si="12"/>
        <v>1.9707517899761337E-3</v>
      </c>
    </row>
    <row r="14" spans="1:41" x14ac:dyDescent="0.35">
      <c r="A14" s="1">
        <v>4500.01</v>
      </c>
      <c r="B14" s="1">
        <v>9.8772700000000005E-3</v>
      </c>
      <c r="C14" s="1">
        <v>9.7938899999999995E-3</v>
      </c>
      <c r="D14" s="1">
        <f t="shared" si="0"/>
        <v>1.967116E-2</v>
      </c>
      <c r="F14" s="1">
        <v>4500.01</v>
      </c>
      <c r="G14" s="1">
        <v>1.80897E-3</v>
      </c>
      <c r="H14" s="1">
        <v>4.10985E-3</v>
      </c>
      <c r="I14" s="1">
        <f t="shared" si="1"/>
        <v>5.91882E-3</v>
      </c>
      <c r="K14" s="1">
        <v>4500.01</v>
      </c>
      <c r="L14" s="1">
        <v>5.4834899999999995E-4</v>
      </c>
      <c r="M14" s="1">
        <v>9.4750300000000004E-4</v>
      </c>
      <c r="N14" s="1">
        <f t="shared" si="2"/>
        <v>1.495852E-3</v>
      </c>
      <c r="Q14" s="1">
        <v>4500.01</v>
      </c>
      <c r="R14" s="1">
        <v>3.0662400000000002E-4</v>
      </c>
      <c r="S14" s="1">
        <v>6.4433299999999997E-4</v>
      </c>
      <c r="T14" s="1">
        <f t="shared" si="3"/>
        <v>9.50957E-4</v>
      </c>
      <c r="W14" s="1">
        <v>4500.01</v>
      </c>
      <c r="X14" s="1">
        <v>2.2379E-4</v>
      </c>
      <c r="Y14" s="1">
        <v>7.3040500000000005E-4</v>
      </c>
      <c r="Z14" s="1">
        <f t="shared" si="4"/>
        <v>9.5419500000000002E-4</v>
      </c>
      <c r="AC14" s="1">
        <v>4500.01</v>
      </c>
      <c r="AD14" s="1">
        <v>1.6822699999999999E-4</v>
      </c>
      <c r="AE14" s="1">
        <v>3.8898200000000001E-4</v>
      </c>
      <c r="AF14" s="1">
        <f t="shared" si="5"/>
        <v>5.5720900000000002E-4</v>
      </c>
      <c r="AH14" s="1">
        <f t="shared" si="6"/>
        <v>0.45000100000000004</v>
      </c>
      <c r="AI14" s="1">
        <f t="shared" si="7"/>
        <v>5.8684844868735077E-2</v>
      </c>
      <c r="AJ14" s="1">
        <f t="shared" si="8"/>
        <v>1.7657577565632455E-2</v>
      </c>
      <c r="AK14" s="1">
        <f t="shared" si="9"/>
        <v>4.4625656324582342E-3</v>
      </c>
      <c r="AL14" s="1">
        <f t="shared" si="10"/>
        <v>2.8369838902147968E-3</v>
      </c>
      <c r="AM14" s="1">
        <f t="shared" si="11"/>
        <v>2.8466437947494033E-3</v>
      </c>
      <c r="AN14" s="1">
        <f t="shared" si="12"/>
        <v>1.6623180190930785E-3</v>
      </c>
    </row>
    <row r="15" spans="1:41" x14ac:dyDescent="0.35">
      <c r="A15" s="1">
        <v>5000.01</v>
      </c>
      <c r="B15" s="1">
        <v>6.5728399999999999E-3</v>
      </c>
      <c r="C15" s="1">
        <v>5.1762500000000003E-3</v>
      </c>
      <c r="D15" s="1">
        <f t="shared" si="0"/>
        <v>1.174909E-2</v>
      </c>
      <c r="F15" s="1">
        <v>5000.01</v>
      </c>
      <c r="G15" s="1">
        <v>2.3473000000000001E-3</v>
      </c>
      <c r="H15" s="1">
        <v>4.8371500000000001E-3</v>
      </c>
      <c r="I15" s="1">
        <f t="shared" si="1"/>
        <v>7.1844500000000002E-3</v>
      </c>
      <c r="K15" s="1">
        <v>5000.01</v>
      </c>
      <c r="L15" s="1">
        <v>6.0534599999999999E-4</v>
      </c>
      <c r="M15" s="1">
        <v>1.1784899999999999E-3</v>
      </c>
      <c r="N15" s="1">
        <f t="shared" si="2"/>
        <v>1.783836E-3</v>
      </c>
      <c r="Q15" s="1">
        <v>5000.01</v>
      </c>
      <c r="R15" s="1">
        <v>3.3844399999999997E-4</v>
      </c>
      <c r="S15" s="1">
        <v>1.0036400000000001E-3</v>
      </c>
      <c r="T15" s="1">
        <f t="shared" si="3"/>
        <v>1.3420840000000001E-3</v>
      </c>
      <c r="W15" s="1">
        <v>5000.01</v>
      </c>
      <c r="X15" s="1">
        <v>2.41103E-4</v>
      </c>
      <c r="Y15" s="1">
        <v>4.6970600000000002E-4</v>
      </c>
      <c r="Z15" s="1">
        <f t="shared" si="4"/>
        <v>7.1080899999999996E-4</v>
      </c>
      <c r="AC15" s="1">
        <v>5000.01</v>
      </c>
      <c r="AD15" s="1">
        <v>1.6611299999999999E-4</v>
      </c>
      <c r="AE15" s="1">
        <v>4.1523599999999998E-4</v>
      </c>
      <c r="AF15" s="1">
        <f t="shared" si="5"/>
        <v>5.8134899999999999E-4</v>
      </c>
      <c r="AH15" s="1">
        <f t="shared" si="6"/>
        <v>0.50000100000000003</v>
      </c>
      <c r="AI15" s="1">
        <f t="shared" si="7"/>
        <v>3.5050984486873507E-2</v>
      </c>
      <c r="AJ15" s="1">
        <f t="shared" si="8"/>
        <v>2.1433323389021479E-2</v>
      </c>
      <c r="AK15" s="1">
        <f t="shared" si="9"/>
        <v>5.3217064439140807E-3</v>
      </c>
      <c r="AL15" s="1">
        <f t="shared" si="10"/>
        <v>4.0038305489260139E-3</v>
      </c>
      <c r="AM15" s="1">
        <f t="shared" si="11"/>
        <v>2.1205519093078756E-3</v>
      </c>
      <c r="AN15" s="1">
        <f t="shared" si="12"/>
        <v>1.7343347255369928E-3</v>
      </c>
    </row>
    <row r="16" spans="1:41" x14ac:dyDescent="0.35">
      <c r="A16" s="1">
        <v>5500.01</v>
      </c>
      <c r="B16" s="1">
        <v>2.30818E-3</v>
      </c>
      <c r="C16" s="1">
        <v>1.47992E-3</v>
      </c>
      <c r="D16" s="1">
        <f t="shared" si="0"/>
        <v>3.7881E-3</v>
      </c>
      <c r="F16" s="1">
        <v>5500.01</v>
      </c>
      <c r="G16" s="1">
        <v>3.1779600000000001E-3</v>
      </c>
      <c r="H16" s="1">
        <v>5.81658E-3</v>
      </c>
      <c r="I16" s="1">
        <f t="shared" si="1"/>
        <v>8.9945400000000005E-3</v>
      </c>
      <c r="K16" s="1">
        <v>5500.01</v>
      </c>
      <c r="L16" s="1">
        <v>6.2342799999999998E-4</v>
      </c>
      <c r="M16" s="1">
        <v>1.33833E-3</v>
      </c>
      <c r="N16" s="1">
        <f t="shared" si="2"/>
        <v>1.9617580000000001E-3</v>
      </c>
      <c r="Q16" s="1">
        <v>5500.01</v>
      </c>
      <c r="R16" s="1">
        <v>3.33815E-4</v>
      </c>
      <c r="S16" s="1">
        <v>8.2224200000000005E-4</v>
      </c>
      <c r="T16" s="1">
        <f t="shared" si="3"/>
        <v>1.156057E-3</v>
      </c>
      <c r="W16" s="1">
        <v>5500.01</v>
      </c>
      <c r="X16" s="1">
        <v>2.3533199999999999E-4</v>
      </c>
      <c r="Y16" s="1">
        <v>9.3122300000000001E-4</v>
      </c>
      <c r="Z16" s="1">
        <f t="shared" si="4"/>
        <v>1.1665550000000001E-3</v>
      </c>
      <c r="AC16" s="1">
        <v>5500.01</v>
      </c>
      <c r="AD16" s="1">
        <v>1.6611299999999999E-4</v>
      </c>
      <c r="AE16" s="1">
        <v>6.8776199999999997E-4</v>
      </c>
      <c r="AF16" s="1">
        <f t="shared" si="5"/>
        <v>8.5387499999999992E-4</v>
      </c>
      <c r="AH16" s="1">
        <f t="shared" si="6"/>
        <v>0.55000100000000007</v>
      </c>
      <c r="AI16" s="1">
        <f t="shared" si="7"/>
        <v>1.1301014319809068E-2</v>
      </c>
      <c r="AJ16" s="1">
        <f t="shared" si="8"/>
        <v>2.683335322195704E-2</v>
      </c>
      <c r="AK16" s="1">
        <f t="shared" si="9"/>
        <v>5.8525000000000001E-3</v>
      </c>
      <c r="AL16" s="1">
        <f t="shared" si="10"/>
        <v>3.4488573985680194E-3</v>
      </c>
      <c r="AM16" s="1">
        <f t="shared" si="11"/>
        <v>3.4801760143198094E-3</v>
      </c>
      <c r="AN16" s="1">
        <f t="shared" si="12"/>
        <v>2.5473597852028631E-3</v>
      </c>
    </row>
    <row r="17" spans="1:40" x14ac:dyDescent="0.35">
      <c r="A17" s="1">
        <v>6000.01</v>
      </c>
      <c r="B17" s="1">
        <v>3.4763699999999998E-4</v>
      </c>
      <c r="C17" s="1">
        <v>1.79968E-4</v>
      </c>
      <c r="D17" s="1">
        <f t="shared" si="0"/>
        <v>5.27605E-4</v>
      </c>
      <c r="F17" s="1">
        <v>6000.01</v>
      </c>
      <c r="G17" s="1">
        <v>4.5574600000000002E-3</v>
      </c>
      <c r="H17" s="1">
        <v>7.4938699999999997E-3</v>
      </c>
      <c r="I17" s="1">
        <f t="shared" si="1"/>
        <v>1.2051329999999999E-2</v>
      </c>
      <c r="K17" s="1">
        <v>6000.01</v>
      </c>
      <c r="L17" s="1">
        <v>7.0990599999999995E-4</v>
      </c>
      <c r="M17" s="1">
        <v>1.49387E-3</v>
      </c>
      <c r="N17" s="1">
        <f t="shared" si="2"/>
        <v>2.2037760000000002E-3</v>
      </c>
      <c r="Q17" s="1">
        <v>6000.01</v>
      </c>
      <c r="R17" s="1">
        <v>3.3844399999999997E-4</v>
      </c>
      <c r="S17" s="1">
        <v>7.1880100000000003E-4</v>
      </c>
      <c r="T17" s="1">
        <f t="shared" si="3"/>
        <v>1.0572450000000001E-3</v>
      </c>
      <c r="W17" s="1">
        <v>6000.01</v>
      </c>
      <c r="X17" s="1">
        <v>2.4430900000000001E-4</v>
      </c>
      <c r="Y17" s="1">
        <v>4.8781200000000001E-4</v>
      </c>
      <c r="Z17" s="1">
        <f t="shared" si="4"/>
        <v>7.3212100000000007E-4</v>
      </c>
      <c r="AC17" s="1">
        <v>6000.01</v>
      </c>
      <c r="AD17" s="1">
        <v>1.8755700000000001E-4</v>
      </c>
      <c r="AE17" s="1">
        <v>2.5959600000000001E-4</v>
      </c>
      <c r="AF17" s="1">
        <f t="shared" si="5"/>
        <v>4.4715300000000005E-4</v>
      </c>
      <c r="AH17" s="1">
        <f t="shared" si="6"/>
        <v>0.60000100000000001</v>
      </c>
      <c r="AI17" s="1">
        <f t="shared" si="7"/>
        <v>1.574000596658711E-3</v>
      </c>
      <c r="AJ17" s="1">
        <f t="shared" si="8"/>
        <v>3.5952655131264909E-2</v>
      </c>
      <c r="AK17" s="1">
        <f t="shared" si="9"/>
        <v>6.5745107398568012E-3</v>
      </c>
      <c r="AL17" s="1">
        <f t="shared" si="10"/>
        <v>3.1540721957040571E-3</v>
      </c>
      <c r="AM17" s="1">
        <f t="shared" si="11"/>
        <v>2.184131861575179E-3</v>
      </c>
      <c r="AN17" s="1">
        <f t="shared" si="12"/>
        <v>1.3339886634844869E-3</v>
      </c>
    </row>
    <row r="18" spans="1:40" x14ac:dyDescent="0.35">
      <c r="A18" s="1">
        <v>6500.01</v>
      </c>
      <c r="B18" s="1">
        <v>2.22056E-5</v>
      </c>
      <c r="C18" s="1">
        <v>1.0125800000000001E-5</v>
      </c>
      <c r="D18" s="1">
        <f t="shared" si="0"/>
        <v>3.23314E-5</v>
      </c>
      <c r="F18" s="1">
        <v>6500.01</v>
      </c>
      <c r="G18" s="1">
        <v>6.3941800000000002E-3</v>
      </c>
      <c r="H18" s="1">
        <v>9.1940100000000007E-3</v>
      </c>
      <c r="I18" s="1">
        <f t="shared" si="1"/>
        <v>1.5588190000000002E-2</v>
      </c>
      <c r="K18" s="1">
        <v>6500.01</v>
      </c>
      <c r="L18" s="1">
        <v>8.1407199999999999E-4</v>
      </c>
      <c r="M18" s="1">
        <v>2.52352E-3</v>
      </c>
      <c r="N18" s="1">
        <f t="shared" si="2"/>
        <v>3.3375919999999999E-3</v>
      </c>
      <c r="Q18" s="1">
        <v>6500.01</v>
      </c>
      <c r="R18" s="1">
        <v>3.8357000000000002E-4</v>
      </c>
      <c r="S18" s="1">
        <v>9.9604899999999994E-4</v>
      </c>
      <c r="T18" s="1">
        <f t="shared" si="3"/>
        <v>1.3796189999999999E-3</v>
      </c>
      <c r="W18" s="1">
        <v>6500.01</v>
      </c>
      <c r="X18" s="1">
        <v>2.4302699999999999E-4</v>
      </c>
      <c r="Y18" s="1">
        <v>8.8825799999999995E-4</v>
      </c>
      <c r="Z18" s="1">
        <f t="shared" si="4"/>
        <v>1.1312849999999999E-3</v>
      </c>
      <c r="AC18" s="1">
        <v>6500.01</v>
      </c>
      <c r="AD18" s="1">
        <v>1.7154900000000001E-4</v>
      </c>
      <c r="AE18" s="1">
        <v>4.36845E-4</v>
      </c>
      <c r="AF18" s="1">
        <f t="shared" si="5"/>
        <v>6.0839399999999995E-4</v>
      </c>
      <c r="AH18" s="1">
        <f t="shared" si="6"/>
        <v>0.65000100000000005</v>
      </c>
      <c r="AI18" s="1">
        <f t="shared" si="7"/>
        <v>9.6454057279236267E-5</v>
      </c>
      <c r="AJ18" s="1">
        <f t="shared" si="8"/>
        <v>4.650414677804296E-2</v>
      </c>
      <c r="AK18" s="1">
        <f t="shared" si="9"/>
        <v>9.9570167064439146E-3</v>
      </c>
      <c r="AL18" s="1">
        <f t="shared" si="10"/>
        <v>4.1158084725536987E-3</v>
      </c>
      <c r="AM18" s="1">
        <f t="shared" si="11"/>
        <v>3.3749552505966578E-3</v>
      </c>
      <c r="AN18" s="1">
        <f t="shared" si="12"/>
        <v>1.8150178997613361E-3</v>
      </c>
    </row>
    <row r="19" spans="1:40" x14ac:dyDescent="0.35">
      <c r="A19" s="1">
        <v>7000.01</v>
      </c>
      <c r="B19" s="1">
        <v>9.0022500000000003E-7</v>
      </c>
      <c r="C19" s="1">
        <v>3.7670100000000001E-7</v>
      </c>
      <c r="D19" s="1">
        <f t="shared" si="0"/>
        <v>1.2769260000000001E-6</v>
      </c>
      <c r="F19" s="1">
        <v>7000.01</v>
      </c>
      <c r="G19" s="1">
        <v>8.4669299999999992E-3</v>
      </c>
      <c r="H19" s="1">
        <v>1.08241E-2</v>
      </c>
      <c r="I19" s="1">
        <f t="shared" si="1"/>
        <v>1.9291030000000001E-2</v>
      </c>
      <c r="K19" s="1">
        <v>7000.01</v>
      </c>
      <c r="L19" s="1">
        <v>8.7342799999999999E-4</v>
      </c>
      <c r="M19" s="1">
        <v>1.7841300000000001E-3</v>
      </c>
      <c r="N19" s="1">
        <f t="shared" si="2"/>
        <v>2.657558E-3</v>
      </c>
      <c r="Q19" s="1">
        <v>7000.01</v>
      </c>
      <c r="R19" s="1">
        <v>4.2464599999999999E-4</v>
      </c>
      <c r="S19" s="1">
        <v>1.0826500000000001E-3</v>
      </c>
      <c r="T19" s="1">
        <f t="shared" si="3"/>
        <v>1.507296E-3</v>
      </c>
      <c r="W19" s="1">
        <v>7000.01</v>
      </c>
      <c r="X19" s="1">
        <v>2.4751500000000002E-4</v>
      </c>
      <c r="Y19" s="1">
        <v>5.4406099999999998E-4</v>
      </c>
      <c r="Z19" s="1">
        <f t="shared" si="4"/>
        <v>7.91576E-4</v>
      </c>
      <c r="AC19" s="1">
        <v>7000.01</v>
      </c>
      <c r="AD19" s="1">
        <v>1.97221E-4</v>
      </c>
      <c r="AE19" s="1">
        <v>6.9543600000000001E-4</v>
      </c>
      <c r="AF19" s="1">
        <f t="shared" si="5"/>
        <v>8.9265700000000004E-4</v>
      </c>
      <c r="AH19" s="1">
        <f t="shared" si="6"/>
        <v>0.70000099999999998</v>
      </c>
      <c r="AI19" s="1">
        <f t="shared" si="7"/>
        <v>3.809445107398569E-6</v>
      </c>
      <c r="AJ19" s="1">
        <f t="shared" si="8"/>
        <v>5.7550805489260136E-2</v>
      </c>
      <c r="AK19" s="1">
        <f t="shared" si="9"/>
        <v>7.9282756563245817E-3</v>
      </c>
      <c r="AL19" s="1">
        <f t="shared" si="10"/>
        <v>4.4967064439140813E-3</v>
      </c>
      <c r="AM19" s="1">
        <f t="shared" si="11"/>
        <v>2.3615035799522672E-3</v>
      </c>
      <c r="AN19" s="1">
        <f t="shared" si="12"/>
        <v>2.6630578758949875E-3</v>
      </c>
    </row>
    <row r="20" spans="1:40" x14ac:dyDescent="0.35">
      <c r="A20" s="1">
        <v>7500.01</v>
      </c>
      <c r="B20" s="1">
        <v>0</v>
      </c>
      <c r="C20" s="1">
        <v>0</v>
      </c>
      <c r="D20" s="1">
        <f t="shared" si="0"/>
        <v>0</v>
      </c>
      <c r="F20" s="1">
        <v>7500.01</v>
      </c>
      <c r="G20" s="1">
        <v>9.5414300000000001E-3</v>
      </c>
      <c r="H20" s="1">
        <v>1.05386E-2</v>
      </c>
      <c r="I20" s="1">
        <f t="shared" si="1"/>
        <v>2.0080029999999999E-2</v>
      </c>
      <c r="K20" s="1">
        <v>7500.01</v>
      </c>
      <c r="L20" s="1">
        <v>1.11753E-3</v>
      </c>
      <c r="M20" s="1">
        <v>2.53375E-3</v>
      </c>
      <c r="N20" s="1">
        <f t="shared" si="2"/>
        <v>3.6512799999999998E-3</v>
      </c>
      <c r="Q20" s="1">
        <v>7500.01</v>
      </c>
      <c r="R20" s="1">
        <v>4.4431599999999999E-4</v>
      </c>
      <c r="S20" s="1">
        <v>1.4329099999999999E-3</v>
      </c>
      <c r="T20" s="1">
        <f t="shared" si="3"/>
        <v>1.8772259999999999E-3</v>
      </c>
      <c r="W20" s="1">
        <v>7500.01</v>
      </c>
      <c r="X20" s="1">
        <v>2.6995799999999999E-4</v>
      </c>
      <c r="Y20" s="1">
        <v>5.6254600000000003E-4</v>
      </c>
      <c r="Z20" s="1">
        <f t="shared" si="4"/>
        <v>8.3250399999999997E-4</v>
      </c>
      <c r="AC20" s="1">
        <v>7500.01</v>
      </c>
      <c r="AD20" s="1">
        <v>1.8634899999999999E-4</v>
      </c>
      <c r="AE20" s="1">
        <v>4.3818200000000001E-4</v>
      </c>
      <c r="AF20" s="1">
        <f t="shared" si="5"/>
        <v>6.24531E-4</v>
      </c>
      <c r="AH20" s="1">
        <f t="shared" si="6"/>
        <v>0.75000100000000003</v>
      </c>
      <c r="AI20" s="1">
        <f t="shared" si="7"/>
        <v>0</v>
      </c>
      <c r="AJ20" s="1">
        <f t="shared" si="8"/>
        <v>5.9904624105011912E-2</v>
      </c>
      <c r="AK20" s="1">
        <f t="shared" si="9"/>
        <v>1.0892840095465393E-2</v>
      </c>
      <c r="AL20" s="1">
        <f t="shared" si="10"/>
        <v>5.6003162291169434E-3</v>
      </c>
      <c r="AM20" s="1">
        <f t="shared" si="11"/>
        <v>2.4836038186157516E-3</v>
      </c>
      <c r="AN20" s="1">
        <f t="shared" si="12"/>
        <v>1.8631593078758948E-3</v>
      </c>
    </row>
    <row r="21" spans="1:40" x14ac:dyDescent="0.35">
      <c r="A21" s="1">
        <v>8000.01</v>
      </c>
      <c r="B21" s="1">
        <v>0</v>
      </c>
      <c r="C21" s="1">
        <v>0</v>
      </c>
      <c r="D21" s="1">
        <f t="shared" si="0"/>
        <v>0</v>
      </c>
      <c r="F21" s="1">
        <v>8000.01</v>
      </c>
      <c r="G21" s="1">
        <v>7.8060100000000004E-3</v>
      </c>
      <c r="H21" s="1">
        <v>6.8668399999999999E-3</v>
      </c>
      <c r="I21" s="1">
        <f t="shared" si="1"/>
        <v>1.4672850000000001E-2</v>
      </c>
      <c r="K21" s="1">
        <v>8000.01</v>
      </c>
      <c r="L21" s="1">
        <v>1.2075499999999999E-3</v>
      </c>
      <c r="M21" s="1">
        <v>2.59552E-3</v>
      </c>
      <c r="N21" s="1">
        <f t="shared" si="2"/>
        <v>3.80307E-3</v>
      </c>
      <c r="Q21" s="1">
        <v>8000.01</v>
      </c>
      <c r="R21" s="1">
        <v>5.1026900000000004E-4</v>
      </c>
      <c r="S21" s="1">
        <v>1.0287600000000001E-3</v>
      </c>
      <c r="T21" s="1">
        <f t="shared" si="3"/>
        <v>1.5390290000000001E-3</v>
      </c>
      <c r="W21" s="1">
        <v>8000.01</v>
      </c>
      <c r="X21" s="1">
        <v>2.8470699999999998E-4</v>
      </c>
      <c r="Y21" s="1">
        <v>1.3827900000000001E-3</v>
      </c>
      <c r="Z21" s="1">
        <f t="shared" si="4"/>
        <v>1.667497E-3</v>
      </c>
      <c r="AC21" s="1">
        <v>8000.01</v>
      </c>
      <c r="AD21" s="1">
        <v>2.0054400000000001E-4</v>
      </c>
      <c r="AE21" s="1">
        <v>4.0761600000000002E-4</v>
      </c>
      <c r="AF21" s="1">
        <f t="shared" si="5"/>
        <v>6.0816000000000006E-4</v>
      </c>
      <c r="AH21" s="1">
        <f t="shared" si="6"/>
        <v>0.80000100000000007</v>
      </c>
      <c r="AI21" s="1">
        <f t="shared" si="7"/>
        <v>0</v>
      </c>
      <c r="AJ21" s="1">
        <f t="shared" si="8"/>
        <v>4.3773418854415276E-2</v>
      </c>
      <c r="AK21" s="1">
        <f t="shared" si="9"/>
        <v>1.1345674224343674E-2</v>
      </c>
      <c r="AL21" s="1">
        <f t="shared" si="10"/>
        <v>4.591375298329356E-3</v>
      </c>
      <c r="AM21" s="1">
        <f t="shared" si="11"/>
        <v>4.9746330548926018E-3</v>
      </c>
      <c r="AN21" s="1">
        <f t="shared" si="12"/>
        <v>1.8143198090692127E-3</v>
      </c>
    </row>
    <row r="22" spans="1:40" x14ac:dyDescent="0.35">
      <c r="A22" s="1">
        <v>8500.01</v>
      </c>
      <c r="B22" s="1">
        <v>0</v>
      </c>
      <c r="C22" s="1">
        <v>0</v>
      </c>
      <c r="D22" s="1">
        <f t="shared" si="0"/>
        <v>0</v>
      </c>
      <c r="F22" s="1">
        <v>8500.01</v>
      </c>
      <c r="G22" s="1">
        <v>3.9073199999999997E-3</v>
      </c>
      <c r="H22" s="1">
        <v>2.8509E-3</v>
      </c>
      <c r="I22" s="1">
        <f t="shared" si="1"/>
        <v>6.7582199999999997E-3</v>
      </c>
      <c r="K22" s="1">
        <v>8500.01</v>
      </c>
      <c r="L22" s="1">
        <v>1.50825E-3</v>
      </c>
      <c r="M22" s="1">
        <v>3.63839E-3</v>
      </c>
      <c r="N22" s="1">
        <f t="shared" si="2"/>
        <v>5.1466400000000001E-3</v>
      </c>
      <c r="Q22" s="1">
        <v>8500.01</v>
      </c>
      <c r="R22" s="1">
        <v>5.3977400000000003E-4</v>
      </c>
      <c r="S22" s="1">
        <v>1.4311300000000001E-3</v>
      </c>
      <c r="T22" s="1">
        <f t="shared" si="3"/>
        <v>1.9709039999999999E-3</v>
      </c>
      <c r="W22" s="1">
        <v>8500.01</v>
      </c>
      <c r="X22" s="1">
        <v>2.9240100000000002E-4</v>
      </c>
      <c r="Y22" s="1">
        <v>4.8894599999999998E-4</v>
      </c>
      <c r="Z22" s="1">
        <f t="shared" si="4"/>
        <v>7.8134699999999994E-4</v>
      </c>
      <c r="AC22" s="1">
        <v>8500.01</v>
      </c>
      <c r="AD22" s="1">
        <v>2.0839599999999999E-4</v>
      </c>
      <c r="AE22" s="1">
        <v>8.5383300000000002E-4</v>
      </c>
      <c r="AF22" s="1">
        <f t="shared" si="5"/>
        <v>1.062229E-3</v>
      </c>
      <c r="AH22" s="1">
        <f t="shared" si="6"/>
        <v>0.85000100000000001</v>
      </c>
      <c r="AI22" s="1">
        <f t="shared" si="7"/>
        <v>0</v>
      </c>
      <c r="AJ22" s="1">
        <f t="shared" si="8"/>
        <v>2.0161754176610976E-2</v>
      </c>
      <c r="AK22" s="1">
        <f t="shared" si="9"/>
        <v>1.5353937947494029E-2</v>
      </c>
      <c r="AL22" s="1">
        <f t="shared" si="10"/>
        <v>5.8797852028639611E-3</v>
      </c>
      <c r="AM22" s="1">
        <f t="shared" si="11"/>
        <v>2.3309874701670642E-3</v>
      </c>
      <c r="AN22" s="1">
        <f t="shared" si="12"/>
        <v>3.1689409307875892E-3</v>
      </c>
    </row>
    <row r="23" spans="1:40" x14ac:dyDescent="0.35">
      <c r="A23" s="1">
        <v>9000.01</v>
      </c>
      <c r="B23" s="1">
        <v>0</v>
      </c>
      <c r="C23" s="1">
        <v>0</v>
      </c>
      <c r="D23" s="1">
        <f t="shared" si="0"/>
        <v>0</v>
      </c>
      <c r="F23" s="1">
        <v>9000.01</v>
      </c>
      <c r="G23" s="1">
        <v>1.0842E-3</v>
      </c>
      <c r="H23" s="1">
        <v>6.5361300000000005E-4</v>
      </c>
      <c r="I23" s="1">
        <f t="shared" si="1"/>
        <v>1.7378129999999999E-3</v>
      </c>
      <c r="K23" s="1">
        <v>9000.01</v>
      </c>
      <c r="L23" s="1">
        <v>1.91745E-3</v>
      </c>
      <c r="M23" s="1">
        <v>4.0459299999999997E-3</v>
      </c>
      <c r="N23" s="1">
        <f t="shared" si="2"/>
        <v>5.9633799999999999E-3</v>
      </c>
      <c r="Q23" s="1">
        <v>9000.01</v>
      </c>
      <c r="R23" s="1">
        <v>5.7159400000000003E-4</v>
      </c>
      <c r="S23" s="1">
        <v>1.3408000000000001E-3</v>
      </c>
      <c r="T23" s="1">
        <f t="shared" si="3"/>
        <v>1.912394E-3</v>
      </c>
      <c r="W23" s="1">
        <v>9000.01</v>
      </c>
      <c r="X23" s="1">
        <v>3.1228000000000001E-4</v>
      </c>
      <c r="Y23" s="1">
        <v>7.1298599999999998E-4</v>
      </c>
      <c r="Z23" s="1">
        <f t="shared" si="4"/>
        <v>1.0252659999999999E-3</v>
      </c>
      <c r="AC23" s="1">
        <v>9000.01</v>
      </c>
      <c r="AD23" s="1">
        <v>2.05074E-4</v>
      </c>
      <c r="AE23" s="1">
        <v>5.5861099999999998E-4</v>
      </c>
      <c r="AF23" s="1">
        <f t="shared" si="5"/>
        <v>7.6368499999999995E-4</v>
      </c>
      <c r="AH23" s="1">
        <f t="shared" si="6"/>
        <v>0.90000100000000005</v>
      </c>
      <c r="AI23" s="1">
        <f t="shared" si="7"/>
        <v>0</v>
      </c>
      <c r="AJ23" s="1">
        <f t="shared" si="8"/>
        <v>5.1844063245823383E-3</v>
      </c>
      <c r="AK23" s="1">
        <f t="shared" si="9"/>
        <v>1.7790513126491644E-2</v>
      </c>
      <c r="AL23" s="1">
        <f t="shared" si="10"/>
        <v>5.7052326968973742E-3</v>
      </c>
      <c r="AM23" s="1">
        <f t="shared" si="11"/>
        <v>3.0586694510739854E-3</v>
      </c>
      <c r="AN23" s="1">
        <f t="shared" si="12"/>
        <v>2.2782965393794746E-3</v>
      </c>
    </row>
    <row r="24" spans="1:40" x14ac:dyDescent="0.35">
      <c r="A24" s="1">
        <v>9500.01</v>
      </c>
      <c r="B24" s="1">
        <v>0</v>
      </c>
      <c r="C24" s="1">
        <v>0</v>
      </c>
      <c r="D24" s="1">
        <f t="shared" si="0"/>
        <v>0</v>
      </c>
      <c r="F24" s="1">
        <v>9500.01</v>
      </c>
      <c r="G24" s="1">
        <v>1.6677900000000001E-4</v>
      </c>
      <c r="H24" s="1">
        <v>7.31362E-5</v>
      </c>
      <c r="I24" s="1">
        <f t="shared" si="1"/>
        <v>2.3991520000000001E-4</v>
      </c>
      <c r="K24" s="1">
        <v>9500.01</v>
      </c>
      <c r="L24" s="1">
        <v>2.5558199999999999E-3</v>
      </c>
      <c r="M24" s="1">
        <v>4.6309000000000003E-3</v>
      </c>
      <c r="N24" s="1">
        <f t="shared" si="2"/>
        <v>7.1867200000000006E-3</v>
      </c>
      <c r="Q24" s="1">
        <v>9500.01</v>
      </c>
      <c r="R24" s="1">
        <v>6.3812600000000004E-4</v>
      </c>
      <c r="S24" s="1">
        <v>1.47269E-3</v>
      </c>
      <c r="T24" s="1">
        <f t="shared" si="3"/>
        <v>2.1108160000000002E-3</v>
      </c>
      <c r="W24" s="1">
        <v>9500.01</v>
      </c>
      <c r="X24" s="1">
        <v>3.5331799999999998E-4</v>
      </c>
      <c r="Y24" s="1">
        <v>7.7479899999999995E-4</v>
      </c>
      <c r="Z24" s="1">
        <f t="shared" si="4"/>
        <v>1.1281169999999999E-3</v>
      </c>
      <c r="AC24" s="1">
        <v>9500.01</v>
      </c>
      <c r="AD24" s="1">
        <v>2.2802799999999999E-4</v>
      </c>
      <c r="AE24" s="1">
        <v>3.7397500000000002E-4</v>
      </c>
      <c r="AF24" s="1">
        <f t="shared" si="5"/>
        <v>6.0200300000000004E-4</v>
      </c>
      <c r="AH24" s="1">
        <f t="shared" si="6"/>
        <v>0.95000099999999998</v>
      </c>
      <c r="AI24" s="1">
        <f t="shared" si="7"/>
        <v>0</v>
      </c>
      <c r="AJ24" s="1">
        <f t="shared" si="8"/>
        <v>7.1573747016706439E-4</v>
      </c>
      <c r="AK24" s="1">
        <f t="shared" si="9"/>
        <v>2.1440095465393796E-2</v>
      </c>
      <c r="AL24" s="1">
        <f t="shared" si="10"/>
        <v>6.297183770883054E-3</v>
      </c>
      <c r="AM24" s="1">
        <f t="shared" si="11"/>
        <v>3.3655041766109776E-3</v>
      </c>
      <c r="AN24" s="1">
        <f t="shared" si="12"/>
        <v>1.7959516706443914E-3</v>
      </c>
    </row>
    <row r="25" spans="1:40" x14ac:dyDescent="0.35">
      <c r="A25" s="1">
        <v>10000</v>
      </c>
      <c r="B25" s="1">
        <v>0</v>
      </c>
      <c r="C25" s="1">
        <v>0</v>
      </c>
      <c r="D25" s="1">
        <f t="shared" si="0"/>
        <v>0</v>
      </c>
      <c r="F25" s="1">
        <v>10000</v>
      </c>
      <c r="G25" s="1">
        <v>8.0829899999999997E-6</v>
      </c>
      <c r="H25" s="1">
        <v>1.54055E-6</v>
      </c>
      <c r="I25" s="1">
        <f t="shared" si="1"/>
        <v>9.6235399999999997E-6</v>
      </c>
      <c r="K25" s="1">
        <v>10000</v>
      </c>
      <c r="L25" s="1">
        <v>3.3981900000000002E-3</v>
      </c>
      <c r="M25" s="1">
        <v>5.8119399999999998E-3</v>
      </c>
      <c r="N25" s="1">
        <f t="shared" si="2"/>
        <v>9.2101300000000004E-3</v>
      </c>
      <c r="Q25" s="1">
        <v>10000</v>
      </c>
      <c r="R25" s="1">
        <v>6.6010999999999999E-4</v>
      </c>
      <c r="S25" s="1">
        <v>1.7100399999999999E-3</v>
      </c>
      <c r="T25" s="1">
        <f t="shared" si="3"/>
        <v>2.3701499999999997E-3</v>
      </c>
      <c r="W25" s="1">
        <v>10000</v>
      </c>
      <c r="X25" s="1">
        <v>3.5075299999999998E-4</v>
      </c>
      <c r="Y25" s="1">
        <v>7.2436600000000005E-4</v>
      </c>
      <c r="Z25" s="1">
        <f t="shared" si="4"/>
        <v>1.075119E-3</v>
      </c>
      <c r="AC25" s="1">
        <v>10000</v>
      </c>
      <c r="AD25" s="1">
        <v>2.1655099999999999E-4</v>
      </c>
      <c r="AE25" s="1">
        <v>5.75586E-4</v>
      </c>
      <c r="AF25" s="1">
        <f t="shared" si="5"/>
        <v>7.9213700000000005E-4</v>
      </c>
      <c r="AH25" s="1">
        <f t="shared" si="6"/>
        <v>1</v>
      </c>
      <c r="AI25" s="1">
        <f t="shared" si="7"/>
        <v>0</v>
      </c>
      <c r="AJ25" s="1">
        <f t="shared" si="8"/>
        <v>2.8709844868735081E-5</v>
      </c>
      <c r="AK25" s="1">
        <f t="shared" si="9"/>
        <v>2.7476521479713599E-2</v>
      </c>
      <c r="AL25" s="1">
        <f t="shared" si="10"/>
        <v>7.0708532219570389E-3</v>
      </c>
      <c r="AM25" s="1">
        <f t="shared" si="11"/>
        <v>3.2073955847255367E-3</v>
      </c>
      <c r="AN25" s="1">
        <f t="shared" si="12"/>
        <v>2.3631772076372318E-3</v>
      </c>
    </row>
    <row r="26" spans="1:40" x14ac:dyDescent="0.35">
      <c r="A26" s="1">
        <v>10500</v>
      </c>
      <c r="B26" s="1">
        <v>0</v>
      </c>
      <c r="C26" s="1">
        <v>0</v>
      </c>
      <c r="D26" s="1">
        <f t="shared" si="0"/>
        <v>0</v>
      </c>
      <c r="F26" s="1">
        <v>10500</v>
      </c>
      <c r="G26" s="1">
        <v>0</v>
      </c>
      <c r="H26" s="1">
        <v>0</v>
      </c>
      <c r="I26" s="1">
        <f t="shared" si="1"/>
        <v>0</v>
      </c>
      <c r="K26" s="1">
        <v>10500</v>
      </c>
      <c r="L26" s="1">
        <v>4.7460699999999998E-3</v>
      </c>
      <c r="M26" s="1">
        <v>7.8577400000000002E-3</v>
      </c>
      <c r="N26" s="1">
        <f t="shared" si="2"/>
        <v>1.260381E-2</v>
      </c>
      <c r="Q26" s="1">
        <v>10500</v>
      </c>
      <c r="R26" s="1">
        <v>7.4862599999999996E-4</v>
      </c>
      <c r="S26" s="1">
        <v>1.7049700000000001E-3</v>
      </c>
      <c r="T26" s="1">
        <f t="shared" si="3"/>
        <v>2.4535960000000002E-3</v>
      </c>
      <c r="W26" s="1">
        <v>10500</v>
      </c>
      <c r="X26" s="1">
        <v>3.8602100000000001E-4</v>
      </c>
      <c r="Y26" s="1">
        <v>6.3986000000000002E-4</v>
      </c>
      <c r="Z26" s="1">
        <f t="shared" si="4"/>
        <v>1.025881E-3</v>
      </c>
      <c r="AC26" s="1">
        <v>10500</v>
      </c>
      <c r="AD26" s="1">
        <v>2.2531E-4</v>
      </c>
      <c r="AE26" s="1">
        <v>4.9329899999999999E-4</v>
      </c>
      <c r="AF26" s="1">
        <f t="shared" si="5"/>
        <v>7.1860900000000004E-4</v>
      </c>
      <c r="AH26" s="1">
        <f t="shared" si="6"/>
        <v>1.05</v>
      </c>
      <c r="AI26" s="1">
        <f t="shared" si="7"/>
        <v>0</v>
      </c>
      <c r="AJ26" s="1">
        <f t="shared" si="8"/>
        <v>0</v>
      </c>
      <c r="AK26" s="1">
        <f t="shared" si="9"/>
        <v>3.7600865155131266E-2</v>
      </c>
      <c r="AL26" s="1">
        <f t="shared" si="10"/>
        <v>7.3197971360381862E-3</v>
      </c>
      <c r="AM26" s="1">
        <f t="shared" si="11"/>
        <v>3.0605041766109784E-3</v>
      </c>
      <c r="AN26" s="1">
        <f t="shared" si="12"/>
        <v>2.1438215990453461E-3</v>
      </c>
    </row>
    <row r="27" spans="1:40" x14ac:dyDescent="0.35">
      <c r="A27" s="1">
        <v>11000</v>
      </c>
      <c r="B27" s="1">
        <v>0</v>
      </c>
      <c r="C27" s="1">
        <v>0</v>
      </c>
      <c r="D27" s="1">
        <f t="shared" si="0"/>
        <v>0</v>
      </c>
      <c r="F27" s="1">
        <v>11000</v>
      </c>
      <c r="G27" s="1">
        <v>0</v>
      </c>
      <c r="H27" s="1">
        <v>0</v>
      </c>
      <c r="I27" s="1">
        <f t="shared" si="1"/>
        <v>0</v>
      </c>
      <c r="K27" s="1">
        <v>11000</v>
      </c>
      <c r="L27" s="1">
        <v>6.61124E-3</v>
      </c>
      <c r="M27" s="1">
        <v>9.3818300000000007E-3</v>
      </c>
      <c r="N27" s="1">
        <f t="shared" si="2"/>
        <v>1.5993070000000002E-2</v>
      </c>
      <c r="Q27" s="1">
        <v>11000</v>
      </c>
      <c r="R27" s="1">
        <v>8.2788499999999999E-4</v>
      </c>
      <c r="S27" s="1">
        <v>2.0493199999999999E-3</v>
      </c>
      <c r="T27" s="1">
        <f t="shared" si="3"/>
        <v>2.8772049999999999E-3</v>
      </c>
      <c r="W27" s="1">
        <v>11000</v>
      </c>
      <c r="X27" s="1">
        <v>4.0205200000000002E-4</v>
      </c>
      <c r="Y27" s="1">
        <v>6.3363000000000004E-4</v>
      </c>
      <c r="Z27" s="1">
        <f t="shared" si="4"/>
        <v>1.035682E-3</v>
      </c>
      <c r="AC27" s="1">
        <v>11000</v>
      </c>
      <c r="AD27" s="1">
        <v>2.4010899999999999E-4</v>
      </c>
      <c r="AE27" s="1">
        <v>4.9035500000000004E-4</v>
      </c>
      <c r="AF27" s="1">
        <f t="shared" si="5"/>
        <v>7.30464E-4</v>
      </c>
      <c r="AH27" s="1">
        <f t="shared" si="6"/>
        <v>1.1000000000000001</v>
      </c>
      <c r="AI27" s="1">
        <f t="shared" si="7"/>
        <v>0</v>
      </c>
      <c r="AJ27" s="1">
        <f t="shared" si="8"/>
        <v>0</v>
      </c>
      <c r="AK27" s="1">
        <f t="shared" si="9"/>
        <v>4.7712022673031027E-2</v>
      </c>
      <c r="AL27" s="1">
        <f t="shared" si="10"/>
        <v>8.5835471360381846E-3</v>
      </c>
      <c r="AM27" s="1">
        <f t="shared" si="11"/>
        <v>3.0897434367541761E-3</v>
      </c>
      <c r="AN27" s="1">
        <f t="shared" si="12"/>
        <v>2.1791885441527444E-3</v>
      </c>
    </row>
    <row r="28" spans="1:40" x14ac:dyDescent="0.35">
      <c r="A28" s="1">
        <v>11500</v>
      </c>
      <c r="B28" s="1">
        <v>0</v>
      </c>
      <c r="C28" s="1">
        <v>0</v>
      </c>
      <c r="D28" s="1">
        <f t="shared" si="0"/>
        <v>0</v>
      </c>
      <c r="F28" s="1">
        <v>11500</v>
      </c>
      <c r="G28" s="1">
        <v>0</v>
      </c>
      <c r="H28" s="1">
        <v>0</v>
      </c>
      <c r="I28" s="1">
        <f t="shared" si="1"/>
        <v>0</v>
      </c>
      <c r="K28" s="1">
        <v>11500</v>
      </c>
      <c r="L28" s="1">
        <v>8.4154899999999994E-3</v>
      </c>
      <c r="M28" s="1">
        <v>1.1104299999999999E-2</v>
      </c>
      <c r="N28" s="1">
        <f t="shared" si="2"/>
        <v>1.9519789999999999E-2</v>
      </c>
      <c r="Q28" s="1">
        <v>11500</v>
      </c>
      <c r="R28" s="1">
        <v>9.7946199999999995E-4</v>
      </c>
      <c r="S28" s="1">
        <v>2.2664400000000002E-3</v>
      </c>
      <c r="T28" s="1">
        <f t="shared" si="3"/>
        <v>3.2459020000000002E-3</v>
      </c>
      <c r="W28" s="1">
        <v>11500</v>
      </c>
      <c r="X28" s="1">
        <v>4.3154899999999998E-4</v>
      </c>
      <c r="Y28" s="1">
        <v>9.7934099999999989E-4</v>
      </c>
      <c r="Z28" s="1">
        <f t="shared" si="4"/>
        <v>1.4108899999999999E-3</v>
      </c>
      <c r="AC28" s="1">
        <v>11500</v>
      </c>
      <c r="AD28" s="1">
        <v>2.6396900000000002E-4</v>
      </c>
      <c r="AE28" s="1">
        <v>5.99907E-4</v>
      </c>
      <c r="AF28" s="1">
        <f t="shared" si="5"/>
        <v>8.6387599999999997E-4</v>
      </c>
      <c r="AH28" s="1">
        <f t="shared" si="6"/>
        <v>1.1499999999999999</v>
      </c>
      <c r="AI28" s="1">
        <f t="shared" si="7"/>
        <v>0</v>
      </c>
      <c r="AJ28" s="1">
        <f t="shared" si="8"/>
        <v>0</v>
      </c>
      <c r="AK28" s="1">
        <f t="shared" si="9"/>
        <v>5.8233263723150346E-2</v>
      </c>
      <c r="AL28" s="1">
        <f t="shared" si="10"/>
        <v>9.6834785202863961E-3</v>
      </c>
      <c r="AM28" s="1">
        <f t="shared" si="11"/>
        <v>4.2090990453460611E-3</v>
      </c>
      <c r="AN28" s="1">
        <f t="shared" si="12"/>
        <v>2.5771957040572786E-3</v>
      </c>
    </row>
    <row r="29" spans="1:40" x14ac:dyDescent="0.35">
      <c r="A29" s="1">
        <v>12000</v>
      </c>
      <c r="B29" s="1">
        <v>0</v>
      </c>
      <c r="C29" s="1">
        <v>0</v>
      </c>
      <c r="D29" s="1">
        <f t="shared" si="0"/>
        <v>0</v>
      </c>
      <c r="F29" s="1">
        <v>12000</v>
      </c>
      <c r="G29" s="1">
        <v>0</v>
      </c>
      <c r="H29" s="1">
        <v>0</v>
      </c>
      <c r="I29" s="1">
        <f t="shared" si="1"/>
        <v>0</v>
      </c>
      <c r="K29" s="1">
        <v>12000</v>
      </c>
      <c r="L29" s="1">
        <v>8.7217000000000006E-3</v>
      </c>
      <c r="M29" s="1">
        <v>9.6462700000000002E-3</v>
      </c>
      <c r="N29" s="1">
        <f t="shared" si="2"/>
        <v>1.8367970000000001E-2</v>
      </c>
      <c r="Q29" s="1">
        <v>12000</v>
      </c>
      <c r="R29" s="1">
        <v>1.1605400000000001E-3</v>
      </c>
      <c r="S29" s="1">
        <v>2.5661999999999998E-3</v>
      </c>
      <c r="T29" s="1">
        <f t="shared" si="3"/>
        <v>3.7267400000000001E-3</v>
      </c>
      <c r="W29" s="1">
        <v>12000</v>
      </c>
      <c r="X29" s="1">
        <v>4.8990100000000005E-4</v>
      </c>
      <c r="Y29" s="1">
        <v>1.1998E-3</v>
      </c>
      <c r="Z29" s="1">
        <f t="shared" si="4"/>
        <v>1.6897010000000001E-3</v>
      </c>
      <c r="AC29" s="1">
        <v>12000</v>
      </c>
      <c r="AD29" s="1">
        <v>2.8812999999999999E-4</v>
      </c>
      <c r="AE29" s="1">
        <v>5.0810099999999995E-4</v>
      </c>
      <c r="AF29" s="1">
        <f t="shared" si="5"/>
        <v>7.9623099999999989E-4</v>
      </c>
      <c r="AH29" s="1">
        <f t="shared" si="6"/>
        <v>1.2</v>
      </c>
      <c r="AI29" s="1">
        <f t="shared" si="7"/>
        <v>0</v>
      </c>
      <c r="AJ29" s="1">
        <f t="shared" si="8"/>
        <v>0</v>
      </c>
      <c r="AK29" s="1">
        <f t="shared" si="9"/>
        <v>5.4797046539379467E-2</v>
      </c>
      <c r="AL29" s="1">
        <f t="shared" si="10"/>
        <v>1.1117959427207636E-2</v>
      </c>
      <c r="AM29" s="1">
        <f t="shared" si="11"/>
        <v>5.0408741050119322E-3</v>
      </c>
      <c r="AN29" s="1">
        <f t="shared" si="12"/>
        <v>2.3753908114558468E-3</v>
      </c>
    </row>
    <row r="30" spans="1:40" x14ac:dyDescent="0.35">
      <c r="A30" s="1">
        <v>12500</v>
      </c>
      <c r="B30" s="1">
        <v>0</v>
      </c>
      <c r="C30" s="1">
        <v>0</v>
      </c>
      <c r="D30" s="1">
        <f t="shared" si="0"/>
        <v>0</v>
      </c>
      <c r="F30" s="1">
        <v>12500</v>
      </c>
      <c r="G30" s="1">
        <v>0</v>
      </c>
      <c r="H30" s="1">
        <v>0</v>
      </c>
      <c r="I30" s="1">
        <f t="shared" si="1"/>
        <v>0</v>
      </c>
      <c r="K30" s="1">
        <v>12500</v>
      </c>
      <c r="L30" s="1">
        <v>7.4343600000000001E-3</v>
      </c>
      <c r="M30" s="1">
        <v>6.6401899999999998E-3</v>
      </c>
      <c r="N30" s="1">
        <f t="shared" si="2"/>
        <v>1.407455E-2</v>
      </c>
      <c r="Q30" s="1">
        <v>12500</v>
      </c>
      <c r="R30" s="1">
        <v>1.3630300000000001E-3</v>
      </c>
      <c r="S30" s="1">
        <v>2.6703299999999998E-3</v>
      </c>
      <c r="T30" s="1">
        <f t="shared" si="3"/>
        <v>4.0333599999999997E-3</v>
      </c>
      <c r="W30" s="1">
        <v>12500</v>
      </c>
      <c r="X30" s="1">
        <v>5.2068000000000004E-4</v>
      </c>
      <c r="Y30" s="1">
        <v>1.67818E-3</v>
      </c>
      <c r="Z30" s="1">
        <f t="shared" si="4"/>
        <v>2.19886E-3</v>
      </c>
      <c r="AC30" s="1">
        <v>12500</v>
      </c>
      <c r="AD30" s="1">
        <v>2.6034400000000003E-4</v>
      </c>
      <c r="AE30" s="1">
        <v>7.5327200000000003E-4</v>
      </c>
      <c r="AF30" s="1">
        <f t="shared" si="5"/>
        <v>1.0136160000000002E-3</v>
      </c>
      <c r="AH30" s="1">
        <f t="shared" si="6"/>
        <v>1.25</v>
      </c>
      <c r="AI30" s="1">
        <f t="shared" si="7"/>
        <v>0</v>
      </c>
      <c r="AJ30" s="1">
        <f t="shared" si="8"/>
        <v>0</v>
      </c>
      <c r="AK30" s="1">
        <f t="shared" si="9"/>
        <v>4.1988514319809066E-2</v>
      </c>
      <c r="AL30" s="1">
        <f t="shared" si="10"/>
        <v>1.2032696897374701E-2</v>
      </c>
      <c r="AM30" s="1">
        <f t="shared" si="11"/>
        <v>6.5598448687350834E-3</v>
      </c>
      <c r="AN30" s="1">
        <f t="shared" si="12"/>
        <v>3.0239140811455854E-3</v>
      </c>
    </row>
    <row r="31" spans="1:40" x14ac:dyDescent="0.35">
      <c r="A31" s="1">
        <v>13000</v>
      </c>
      <c r="B31" s="1">
        <v>0</v>
      </c>
      <c r="C31" s="1">
        <v>0</v>
      </c>
      <c r="D31" s="1">
        <f t="shared" si="0"/>
        <v>0</v>
      </c>
      <c r="F31" s="1">
        <v>13000</v>
      </c>
      <c r="G31" s="1">
        <v>0</v>
      </c>
      <c r="H31" s="1">
        <v>0</v>
      </c>
      <c r="I31" s="1">
        <f t="shared" si="1"/>
        <v>0</v>
      </c>
      <c r="K31" s="1">
        <v>13000</v>
      </c>
      <c r="L31" s="1">
        <v>3.9029099999999999E-3</v>
      </c>
      <c r="M31" s="1">
        <v>3.0822200000000001E-3</v>
      </c>
      <c r="N31" s="1">
        <f t="shared" si="2"/>
        <v>6.98513E-3</v>
      </c>
      <c r="Q31" s="1">
        <v>13000</v>
      </c>
      <c r="R31" s="1">
        <v>1.7327200000000001E-3</v>
      </c>
      <c r="S31" s="1">
        <v>3.7179100000000001E-3</v>
      </c>
      <c r="T31" s="1">
        <f t="shared" si="3"/>
        <v>5.4506299999999997E-3</v>
      </c>
      <c r="W31" s="1">
        <v>13000</v>
      </c>
      <c r="X31" s="1">
        <v>5.5594699999999999E-4</v>
      </c>
      <c r="Y31" s="1">
        <v>2.1620699999999999E-3</v>
      </c>
      <c r="Z31" s="1">
        <f t="shared" si="4"/>
        <v>2.7180169999999997E-3</v>
      </c>
      <c r="AC31" s="1">
        <v>13000</v>
      </c>
      <c r="AD31" s="1">
        <v>2.8299599999999999E-4</v>
      </c>
      <c r="AE31" s="1">
        <v>6.03405E-4</v>
      </c>
      <c r="AF31" s="1">
        <f t="shared" si="5"/>
        <v>8.8640099999999999E-4</v>
      </c>
      <c r="AH31" s="1">
        <f t="shared" si="6"/>
        <v>1.3</v>
      </c>
      <c r="AI31" s="1">
        <f t="shared" si="7"/>
        <v>0</v>
      </c>
      <c r="AJ31" s="1">
        <f t="shared" si="8"/>
        <v>0</v>
      </c>
      <c r="AK31" s="1">
        <f t="shared" si="9"/>
        <v>2.0838693317422434E-2</v>
      </c>
      <c r="AL31" s="1">
        <f t="shared" si="10"/>
        <v>1.6260829355608589E-2</v>
      </c>
      <c r="AM31" s="1">
        <f t="shared" si="11"/>
        <v>8.1086426014319781E-3</v>
      </c>
      <c r="AN31" s="1">
        <f t="shared" si="12"/>
        <v>2.6443943914081147E-3</v>
      </c>
    </row>
    <row r="32" spans="1:40" x14ac:dyDescent="0.35">
      <c r="A32" s="1">
        <v>13500</v>
      </c>
      <c r="B32" s="1">
        <v>0</v>
      </c>
      <c r="C32" s="1">
        <v>0</v>
      </c>
      <c r="D32" s="1">
        <f t="shared" si="0"/>
        <v>0</v>
      </c>
      <c r="F32" s="1">
        <v>13500</v>
      </c>
      <c r="G32" s="1">
        <v>0</v>
      </c>
      <c r="H32" s="1">
        <v>0</v>
      </c>
      <c r="I32" s="1">
        <f t="shared" si="1"/>
        <v>0</v>
      </c>
      <c r="K32" s="1">
        <v>13500</v>
      </c>
      <c r="L32" s="1">
        <v>1.08255E-3</v>
      </c>
      <c r="M32" s="1">
        <v>6.7308899999999998E-4</v>
      </c>
      <c r="N32" s="1">
        <f t="shared" si="2"/>
        <v>1.755639E-3</v>
      </c>
      <c r="Q32" s="1">
        <v>13500</v>
      </c>
      <c r="R32" s="1">
        <v>2.2395100000000001E-3</v>
      </c>
      <c r="S32" s="1">
        <v>4.6606199999999999E-3</v>
      </c>
      <c r="T32" s="1">
        <f t="shared" si="3"/>
        <v>6.90013E-3</v>
      </c>
      <c r="W32" s="1">
        <v>13500</v>
      </c>
      <c r="X32" s="1">
        <v>5.7454299999999995E-4</v>
      </c>
      <c r="Y32" s="1">
        <v>1.31795E-3</v>
      </c>
      <c r="Z32" s="1">
        <f t="shared" si="4"/>
        <v>1.8924929999999999E-3</v>
      </c>
      <c r="AC32" s="1">
        <v>13500</v>
      </c>
      <c r="AD32" s="1">
        <v>2.9960700000000002E-4</v>
      </c>
      <c r="AE32" s="1">
        <v>7.5713600000000005E-4</v>
      </c>
      <c r="AF32" s="1">
        <f t="shared" si="5"/>
        <v>1.0567430000000002E-3</v>
      </c>
      <c r="AH32" s="1">
        <f t="shared" si="6"/>
        <v>1.35</v>
      </c>
      <c r="AI32" s="1">
        <f t="shared" si="7"/>
        <v>0</v>
      </c>
      <c r="AJ32" s="1">
        <f t="shared" si="8"/>
        <v>0</v>
      </c>
      <c r="AK32" s="1">
        <f t="shared" si="9"/>
        <v>5.2375865155131259E-3</v>
      </c>
      <c r="AL32" s="1">
        <f t="shared" si="10"/>
        <v>2.058511336515513E-2</v>
      </c>
      <c r="AM32" s="1">
        <f t="shared" si="11"/>
        <v>5.6458621718377079E-3</v>
      </c>
      <c r="AN32" s="1">
        <f t="shared" si="12"/>
        <v>3.1525745823389024E-3</v>
      </c>
    </row>
    <row r="33" spans="1:40" x14ac:dyDescent="0.35">
      <c r="A33" s="1">
        <v>14000</v>
      </c>
      <c r="B33" s="1">
        <v>0</v>
      </c>
      <c r="C33" s="1">
        <v>0</v>
      </c>
      <c r="D33" s="1">
        <f t="shared" si="0"/>
        <v>0</v>
      </c>
      <c r="F33" s="1">
        <v>14000</v>
      </c>
      <c r="G33" s="1">
        <v>0</v>
      </c>
      <c r="H33" s="1">
        <v>0</v>
      </c>
      <c r="I33" s="1">
        <f t="shared" si="1"/>
        <v>0</v>
      </c>
      <c r="K33" s="1">
        <v>14000</v>
      </c>
      <c r="L33" s="1">
        <v>2.0047199999999999E-4</v>
      </c>
      <c r="M33" s="1">
        <v>1.24027E-4</v>
      </c>
      <c r="N33" s="1">
        <f t="shared" si="2"/>
        <v>3.2449900000000001E-4</v>
      </c>
      <c r="Q33" s="1">
        <v>14000</v>
      </c>
      <c r="R33" s="1">
        <v>2.8764799999999998E-3</v>
      </c>
      <c r="S33" s="1">
        <v>4.8577799999999999E-3</v>
      </c>
      <c r="T33" s="1">
        <f t="shared" si="3"/>
        <v>7.7342599999999997E-3</v>
      </c>
      <c r="W33" s="1">
        <v>14000</v>
      </c>
      <c r="X33" s="1">
        <v>6.4572000000000002E-4</v>
      </c>
      <c r="Y33" s="1">
        <v>2.0660100000000001E-3</v>
      </c>
      <c r="Z33" s="1">
        <f t="shared" si="4"/>
        <v>2.7117299999999999E-3</v>
      </c>
      <c r="AC33" s="1">
        <v>14000</v>
      </c>
      <c r="AD33" s="1">
        <v>3.1893699999999999E-4</v>
      </c>
      <c r="AE33" s="1">
        <v>7.1725100000000002E-4</v>
      </c>
      <c r="AF33" s="1">
        <f t="shared" si="5"/>
        <v>1.036188E-3</v>
      </c>
      <c r="AH33" s="1">
        <f t="shared" si="6"/>
        <v>1.4</v>
      </c>
      <c r="AI33" s="1">
        <f t="shared" si="7"/>
        <v>0</v>
      </c>
      <c r="AJ33" s="1">
        <f t="shared" si="8"/>
        <v>0</v>
      </c>
      <c r="AK33" s="1">
        <f t="shared" si="9"/>
        <v>9.6807577565632453E-4</v>
      </c>
      <c r="AL33" s="1">
        <f t="shared" si="10"/>
        <v>2.3073568019093074E-2</v>
      </c>
      <c r="AM33" s="1">
        <f t="shared" si="11"/>
        <v>8.0898866348448686E-3</v>
      </c>
      <c r="AN33" s="1">
        <f t="shared" si="12"/>
        <v>3.0912529832935556E-3</v>
      </c>
    </row>
    <row r="34" spans="1:40" x14ac:dyDescent="0.35">
      <c r="A34" s="1">
        <v>14500</v>
      </c>
      <c r="B34" s="1">
        <v>0</v>
      </c>
      <c r="C34" s="1">
        <v>0</v>
      </c>
      <c r="D34" s="1">
        <f t="shared" si="0"/>
        <v>0</v>
      </c>
      <c r="F34" s="1">
        <v>14500</v>
      </c>
      <c r="G34" s="1">
        <v>0</v>
      </c>
      <c r="H34" s="1">
        <v>0</v>
      </c>
      <c r="I34" s="1">
        <f t="shared" si="1"/>
        <v>0</v>
      </c>
      <c r="K34" s="1">
        <v>14500</v>
      </c>
      <c r="L34" s="1">
        <v>1.29717E-5</v>
      </c>
      <c r="M34" s="1">
        <v>8.1143999999999998E-6</v>
      </c>
      <c r="N34" s="1">
        <f t="shared" si="2"/>
        <v>2.1086100000000001E-5</v>
      </c>
      <c r="Q34" s="1">
        <v>14500</v>
      </c>
      <c r="R34" s="1">
        <v>3.8900800000000002E-3</v>
      </c>
      <c r="S34" s="1">
        <v>6.6427099999999996E-3</v>
      </c>
      <c r="T34" s="1">
        <f t="shared" si="3"/>
        <v>1.053279E-2</v>
      </c>
      <c r="W34" s="1">
        <v>14500</v>
      </c>
      <c r="X34" s="1">
        <v>7.2459100000000002E-4</v>
      </c>
      <c r="Y34" s="1">
        <v>1.6700899999999999E-3</v>
      </c>
      <c r="Z34" s="1">
        <f t="shared" si="4"/>
        <v>2.3946810000000001E-3</v>
      </c>
      <c r="AC34" s="1">
        <v>14500</v>
      </c>
      <c r="AD34" s="1">
        <v>3.4974300000000002E-4</v>
      </c>
      <c r="AE34" s="1">
        <v>9.9209199999999997E-4</v>
      </c>
      <c r="AF34" s="1">
        <f t="shared" si="5"/>
        <v>1.341835E-3</v>
      </c>
      <c r="AH34" s="1">
        <f t="shared" si="6"/>
        <v>1.45</v>
      </c>
      <c r="AI34" s="1">
        <f t="shared" si="7"/>
        <v>0</v>
      </c>
      <c r="AJ34" s="1">
        <f t="shared" si="8"/>
        <v>0</v>
      </c>
      <c r="AK34" s="1">
        <f t="shared" si="9"/>
        <v>6.2906026252983278E-5</v>
      </c>
      <c r="AL34" s="1">
        <f t="shared" si="10"/>
        <v>3.1422404534606201E-2</v>
      </c>
      <c r="AM34" s="1">
        <f t="shared" si="11"/>
        <v>7.1440363961813831E-3</v>
      </c>
      <c r="AN34" s="1">
        <f t="shared" si="12"/>
        <v>4.0030877088305487E-3</v>
      </c>
    </row>
    <row r="35" spans="1:40" x14ac:dyDescent="0.35">
      <c r="A35" s="1">
        <v>15000</v>
      </c>
      <c r="B35" s="1">
        <v>0</v>
      </c>
      <c r="C35" s="1">
        <v>0</v>
      </c>
      <c r="D35" s="1">
        <f t="shared" si="0"/>
        <v>0</v>
      </c>
      <c r="F35" s="1">
        <v>15000</v>
      </c>
      <c r="G35" s="1">
        <v>0</v>
      </c>
      <c r="H35" s="1">
        <v>0</v>
      </c>
      <c r="I35" s="1">
        <f t="shared" si="1"/>
        <v>0</v>
      </c>
      <c r="K35" s="1">
        <v>15000</v>
      </c>
      <c r="L35" s="1">
        <v>7.8616400000000005E-7</v>
      </c>
      <c r="M35" s="1">
        <v>5.6445799999999997E-8</v>
      </c>
      <c r="N35" s="1">
        <f t="shared" si="2"/>
        <v>8.4260980000000007E-7</v>
      </c>
      <c r="Q35" s="1">
        <v>15000</v>
      </c>
      <c r="R35" s="1">
        <v>5.4214600000000003E-3</v>
      </c>
      <c r="S35" s="1">
        <v>8.5552100000000006E-3</v>
      </c>
      <c r="T35" s="1">
        <f t="shared" si="3"/>
        <v>1.397667E-2</v>
      </c>
      <c r="W35" s="1">
        <v>15000</v>
      </c>
      <c r="X35" s="1">
        <v>8.0410400000000004E-4</v>
      </c>
      <c r="Y35" s="1">
        <v>2.3064399999999999E-3</v>
      </c>
      <c r="Z35" s="1">
        <f t="shared" si="4"/>
        <v>3.1105439999999998E-3</v>
      </c>
      <c r="AC35" s="1">
        <v>15000</v>
      </c>
      <c r="AD35" s="1">
        <v>3.5155499999999998E-4</v>
      </c>
      <c r="AE35" s="1">
        <v>8.4940500000000002E-4</v>
      </c>
      <c r="AF35" s="1">
        <f t="shared" si="5"/>
        <v>1.20096E-3</v>
      </c>
      <c r="AH35" s="1">
        <f t="shared" si="6"/>
        <v>1.5</v>
      </c>
      <c r="AI35" s="1">
        <f t="shared" si="7"/>
        <v>0</v>
      </c>
      <c r="AJ35" s="1">
        <f t="shared" si="8"/>
        <v>0</v>
      </c>
      <c r="AK35" s="1">
        <f t="shared" si="9"/>
        <v>2.5137523866348447E-6</v>
      </c>
      <c r="AL35" s="1">
        <f t="shared" si="10"/>
        <v>4.1696509546539369E-2</v>
      </c>
      <c r="AM35" s="1">
        <f t="shared" si="11"/>
        <v>9.2796658711217159E-3</v>
      </c>
      <c r="AN35" s="1">
        <f t="shared" si="12"/>
        <v>3.582816229116945E-3</v>
      </c>
    </row>
    <row r="36" spans="1:40" x14ac:dyDescent="0.35">
      <c r="A36" s="1">
        <v>15500</v>
      </c>
      <c r="B36" s="1">
        <v>0</v>
      </c>
      <c r="C36" s="1">
        <v>0</v>
      </c>
      <c r="D36" s="1">
        <f t="shared" si="0"/>
        <v>0</v>
      </c>
      <c r="F36" s="1">
        <v>15500</v>
      </c>
      <c r="G36" s="1">
        <v>0</v>
      </c>
      <c r="H36" s="1">
        <v>0</v>
      </c>
      <c r="I36" s="1">
        <f t="shared" si="1"/>
        <v>0</v>
      </c>
      <c r="K36" s="1">
        <v>15500</v>
      </c>
      <c r="L36" s="1">
        <v>0</v>
      </c>
      <c r="M36" s="1">
        <v>0</v>
      </c>
      <c r="N36" s="1">
        <f t="shared" si="2"/>
        <v>0</v>
      </c>
      <c r="Q36" s="1">
        <v>15500</v>
      </c>
      <c r="R36" s="1">
        <v>7.1096299999999996E-3</v>
      </c>
      <c r="S36" s="1">
        <v>9.3648700000000008E-3</v>
      </c>
      <c r="T36" s="1">
        <f t="shared" si="3"/>
        <v>1.64745E-2</v>
      </c>
      <c r="W36" s="1">
        <v>15500</v>
      </c>
      <c r="X36" s="1">
        <v>8.9066999999999998E-4</v>
      </c>
      <c r="Y36" s="1">
        <v>1.9723700000000002E-3</v>
      </c>
      <c r="Z36" s="1">
        <f t="shared" si="4"/>
        <v>2.8630400000000003E-3</v>
      </c>
      <c r="AC36" s="1">
        <v>15500</v>
      </c>
      <c r="AD36" s="1">
        <v>3.8719399999999999E-4</v>
      </c>
      <c r="AE36" s="1">
        <v>1.3624500000000001E-3</v>
      </c>
      <c r="AF36" s="1">
        <f t="shared" si="5"/>
        <v>1.7496440000000001E-3</v>
      </c>
      <c r="AH36" s="1">
        <f t="shared" si="6"/>
        <v>1.55</v>
      </c>
      <c r="AI36" s="1">
        <f t="shared" si="7"/>
        <v>0</v>
      </c>
      <c r="AJ36" s="1">
        <f t="shared" si="8"/>
        <v>0</v>
      </c>
      <c r="AK36" s="1">
        <f t="shared" si="9"/>
        <v>0</v>
      </c>
      <c r="AL36" s="1">
        <f t="shared" si="10"/>
        <v>4.9148269689737463E-2</v>
      </c>
      <c r="AM36" s="1">
        <f t="shared" si="11"/>
        <v>8.5412887828162278E-3</v>
      </c>
      <c r="AN36" s="1">
        <f t="shared" si="12"/>
        <v>5.21970167064439E-3</v>
      </c>
    </row>
    <row r="37" spans="1:40" x14ac:dyDescent="0.35">
      <c r="A37" s="1">
        <v>16000</v>
      </c>
      <c r="B37" s="1">
        <v>0</v>
      </c>
      <c r="C37" s="1">
        <v>0</v>
      </c>
      <c r="D37" s="1">
        <f t="shared" si="0"/>
        <v>0</v>
      </c>
      <c r="F37" s="1">
        <v>16000</v>
      </c>
      <c r="G37" s="1">
        <v>0</v>
      </c>
      <c r="H37" s="1">
        <v>0</v>
      </c>
      <c r="I37" s="1">
        <f t="shared" si="1"/>
        <v>0</v>
      </c>
      <c r="K37" s="1">
        <v>16000</v>
      </c>
      <c r="L37" s="1">
        <v>0</v>
      </c>
      <c r="M37" s="1">
        <v>0</v>
      </c>
      <c r="N37" s="1">
        <f t="shared" si="2"/>
        <v>0</v>
      </c>
      <c r="Q37" s="1">
        <v>16000</v>
      </c>
      <c r="R37" s="1">
        <v>8.2753800000000006E-3</v>
      </c>
      <c r="S37" s="1">
        <v>1.0115799999999999E-2</v>
      </c>
      <c r="T37" s="1">
        <f t="shared" si="3"/>
        <v>1.839118E-2</v>
      </c>
      <c r="W37" s="1">
        <v>16000</v>
      </c>
      <c r="X37" s="1">
        <v>1.09073E-3</v>
      </c>
      <c r="Y37" s="1">
        <v>2.2760699999999998E-3</v>
      </c>
      <c r="Z37" s="1">
        <f t="shared" si="4"/>
        <v>3.3667999999999997E-3</v>
      </c>
      <c r="AC37" s="1">
        <v>16000</v>
      </c>
      <c r="AD37" s="1">
        <v>4.2494700000000001E-4</v>
      </c>
      <c r="AE37" s="1">
        <v>1.17522E-3</v>
      </c>
      <c r="AF37" s="1">
        <f t="shared" si="5"/>
        <v>1.600167E-3</v>
      </c>
      <c r="AH37" s="1">
        <f t="shared" si="6"/>
        <v>1.6</v>
      </c>
      <c r="AI37" s="1">
        <f t="shared" si="7"/>
        <v>0</v>
      </c>
      <c r="AJ37" s="1">
        <f t="shared" si="8"/>
        <v>0</v>
      </c>
      <c r="AK37" s="1">
        <f t="shared" si="9"/>
        <v>0</v>
      </c>
      <c r="AL37" s="1">
        <f t="shared" si="10"/>
        <v>5.4866288782816221E-2</v>
      </c>
      <c r="AM37" s="1">
        <f t="shared" si="11"/>
        <v>1.0044152744630068E-2</v>
      </c>
      <c r="AN37" s="1">
        <f t="shared" si="12"/>
        <v>4.7737678997613366E-3</v>
      </c>
    </row>
    <row r="38" spans="1:40" x14ac:dyDescent="0.35">
      <c r="A38" s="1">
        <v>16500</v>
      </c>
      <c r="B38" s="1">
        <v>0</v>
      </c>
      <c r="C38" s="1">
        <v>0</v>
      </c>
      <c r="D38" s="1">
        <f t="shared" si="0"/>
        <v>0</v>
      </c>
      <c r="F38" s="1">
        <v>16500</v>
      </c>
      <c r="G38" s="1">
        <v>0</v>
      </c>
      <c r="H38" s="1">
        <v>0</v>
      </c>
      <c r="I38" s="1">
        <f t="shared" si="1"/>
        <v>0</v>
      </c>
      <c r="K38" s="1">
        <v>16500</v>
      </c>
      <c r="L38" s="1">
        <v>0</v>
      </c>
      <c r="M38" s="1">
        <v>0</v>
      </c>
      <c r="N38" s="1">
        <f t="shared" si="2"/>
        <v>0</v>
      </c>
      <c r="Q38" s="1">
        <v>16500</v>
      </c>
      <c r="R38" s="1">
        <v>8.8377200000000003E-3</v>
      </c>
      <c r="S38" s="1">
        <v>8.7539499999999999E-3</v>
      </c>
      <c r="T38" s="1">
        <f t="shared" si="3"/>
        <v>1.759167E-2</v>
      </c>
      <c r="W38" s="1">
        <v>16500</v>
      </c>
      <c r="X38" s="1">
        <v>1.19013E-3</v>
      </c>
      <c r="Y38" s="1">
        <v>2.3187199999999998E-3</v>
      </c>
      <c r="Z38" s="1">
        <f t="shared" si="4"/>
        <v>3.50885E-3</v>
      </c>
      <c r="AC38" s="1">
        <v>16500</v>
      </c>
      <c r="AD38" s="1">
        <v>4.3521599999999999E-4</v>
      </c>
      <c r="AE38" s="1">
        <v>7.8867599999999998E-4</v>
      </c>
      <c r="AF38" s="1">
        <f t="shared" si="5"/>
        <v>1.2238919999999999E-3</v>
      </c>
      <c r="AH38" s="1">
        <f t="shared" si="6"/>
        <v>1.65</v>
      </c>
      <c r="AI38" s="1">
        <f t="shared" si="7"/>
        <v>0</v>
      </c>
      <c r="AJ38" s="1">
        <f t="shared" si="8"/>
        <v>0</v>
      </c>
      <c r="AK38" s="1">
        <f t="shared" si="9"/>
        <v>0</v>
      </c>
      <c r="AL38" s="1">
        <f t="shared" si="10"/>
        <v>5.2481115751789972E-2</v>
      </c>
      <c r="AM38" s="1">
        <f t="shared" si="11"/>
        <v>1.0467929594272077E-2</v>
      </c>
      <c r="AN38" s="1">
        <f t="shared" si="12"/>
        <v>3.6512291169451066E-3</v>
      </c>
    </row>
    <row r="39" spans="1:40" x14ac:dyDescent="0.35">
      <c r="A39" s="1">
        <v>17000</v>
      </c>
      <c r="B39" s="1">
        <v>0</v>
      </c>
      <c r="C39" s="1">
        <v>0</v>
      </c>
      <c r="D39" s="1">
        <f t="shared" si="0"/>
        <v>0</v>
      </c>
      <c r="F39" s="1">
        <v>17000</v>
      </c>
      <c r="G39" s="1">
        <v>0</v>
      </c>
      <c r="H39" s="1">
        <v>0</v>
      </c>
      <c r="I39" s="1">
        <f t="shared" si="1"/>
        <v>0</v>
      </c>
      <c r="K39" s="1">
        <v>17000</v>
      </c>
      <c r="L39" s="1">
        <v>0</v>
      </c>
      <c r="M39" s="1">
        <v>0</v>
      </c>
      <c r="N39" s="1">
        <f t="shared" si="2"/>
        <v>0</v>
      </c>
      <c r="Q39" s="1">
        <v>17000</v>
      </c>
      <c r="R39" s="1">
        <v>6.0861999999999999E-3</v>
      </c>
      <c r="S39" s="1">
        <v>5.0779900000000001E-3</v>
      </c>
      <c r="T39" s="1">
        <f t="shared" si="3"/>
        <v>1.1164190000000001E-2</v>
      </c>
      <c r="W39" s="1">
        <v>17000</v>
      </c>
      <c r="X39" s="1">
        <v>1.48124E-3</v>
      </c>
      <c r="Y39" s="1">
        <v>3.46678E-3</v>
      </c>
      <c r="Z39" s="1">
        <f t="shared" si="4"/>
        <v>4.94802E-3</v>
      </c>
      <c r="AC39" s="1">
        <v>17000</v>
      </c>
      <c r="AD39" s="1">
        <v>4.72969E-4</v>
      </c>
      <c r="AE39" s="1">
        <v>9.1156400000000002E-4</v>
      </c>
      <c r="AF39" s="1">
        <f t="shared" si="5"/>
        <v>1.3845330000000001E-3</v>
      </c>
      <c r="AH39" s="1">
        <f t="shared" si="6"/>
        <v>1.7</v>
      </c>
      <c r="AI39" s="1">
        <f t="shared" si="7"/>
        <v>0</v>
      </c>
      <c r="AJ39" s="1">
        <f t="shared" si="8"/>
        <v>0</v>
      </c>
      <c r="AK39" s="1">
        <f t="shared" si="9"/>
        <v>0</v>
      </c>
      <c r="AL39" s="1">
        <f t="shared" si="10"/>
        <v>3.3306056085918849E-2</v>
      </c>
      <c r="AM39" s="1">
        <f t="shared" si="11"/>
        <v>1.4761396181384246E-2</v>
      </c>
      <c r="AN39" s="1">
        <f t="shared" si="12"/>
        <v>4.1304683770883059E-3</v>
      </c>
    </row>
    <row r="40" spans="1:40" x14ac:dyDescent="0.35">
      <c r="A40" s="1">
        <v>17500</v>
      </c>
      <c r="B40" s="1">
        <v>0</v>
      </c>
      <c r="C40" s="1">
        <v>0</v>
      </c>
      <c r="D40" s="1">
        <f t="shared" si="0"/>
        <v>0</v>
      </c>
      <c r="F40" s="1">
        <v>17500</v>
      </c>
      <c r="G40" s="1">
        <v>0</v>
      </c>
      <c r="H40" s="1">
        <v>0</v>
      </c>
      <c r="I40" s="1">
        <f t="shared" si="1"/>
        <v>0</v>
      </c>
      <c r="K40" s="1">
        <v>17500</v>
      </c>
      <c r="L40" s="1">
        <v>0</v>
      </c>
      <c r="M40" s="1">
        <v>0</v>
      </c>
      <c r="N40" s="1">
        <f t="shared" si="2"/>
        <v>0</v>
      </c>
      <c r="Q40" s="1">
        <v>17500</v>
      </c>
      <c r="R40" s="1">
        <v>2.6543199999999999E-3</v>
      </c>
      <c r="S40" s="1">
        <v>1.9740999999999999E-3</v>
      </c>
      <c r="T40" s="1">
        <f t="shared" si="3"/>
        <v>4.6284199999999994E-3</v>
      </c>
      <c r="W40" s="1">
        <v>17500</v>
      </c>
      <c r="X40" s="1">
        <v>1.8499499999999999E-3</v>
      </c>
      <c r="Y40" s="1">
        <v>4.2420599999999998E-3</v>
      </c>
      <c r="Z40" s="1">
        <f t="shared" si="4"/>
        <v>6.0920100000000001E-3</v>
      </c>
      <c r="AC40" s="1">
        <v>17500</v>
      </c>
      <c r="AD40" s="1">
        <v>5.2944699999999995E-4</v>
      </c>
      <c r="AE40" s="1">
        <v>1.43396E-3</v>
      </c>
      <c r="AF40" s="1">
        <f t="shared" si="5"/>
        <v>1.9634069999999999E-3</v>
      </c>
      <c r="AH40" s="1">
        <f t="shared" si="6"/>
        <v>1.75</v>
      </c>
      <c r="AI40" s="1">
        <f t="shared" si="7"/>
        <v>0</v>
      </c>
      <c r="AJ40" s="1">
        <f t="shared" si="8"/>
        <v>0</v>
      </c>
      <c r="AK40" s="1">
        <f t="shared" si="9"/>
        <v>0</v>
      </c>
      <c r="AL40" s="1">
        <f t="shared" si="10"/>
        <v>1.3807935560859186E-2</v>
      </c>
      <c r="AM40" s="1">
        <f t="shared" si="11"/>
        <v>1.8174254176610977E-2</v>
      </c>
      <c r="AN40" s="1">
        <f t="shared" si="12"/>
        <v>5.8574194510739846E-3</v>
      </c>
    </row>
    <row r="41" spans="1:40" x14ac:dyDescent="0.35">
      <c r="A41" s="1">
        <v>18000</v>
      </c>
      <c r="B41" s="1">
        <v>0</v>
      </c>
      <c r="C41" s="1">
        <v>0</v>
      </c>
      <c r="D41" s="1">
        <f t="shared" si="0"/>
        <v>0</v>
      </c>
      <c r="F41" s="1">
        <v>18000</v>
      </c>
      <c r="G41" s="1">
        <v>0</v>
      </c>
      <c r="H41" s="1">
        <v>0</v>
      </c>
      <c r="I41" s="1">
        <f t="shared" si="1"/>
        <v>0</v>
      </c>
      <c r="K41" s="1">
        <v>18000</v>
      </c>
      <c r="L41" s="1">
        <v>0</v>
      </c>
      <c r="M41" s="1">
        <v>0</v>
      </c>
      <c r="N41" s="1">
        <f t="shared" si="2"/>
        <v>0</v>
      </c>
      <c r="Q41" s="1">
        <v>18000</v>
      </c>
      <c r="R41" s="1">
        <v>6.6763100000000002E-4</v>
      </c>
      <c r="S41" s="1">
        <v>4.0353600000000002E-4</v>
      </c>
      <c r="T41" s="1">
        <f t="shared" si="3"/>
        <v>1.071167E-3</v>
      </c>
      <c r="W41" s="1">
        <v>18000</v>
      </c>
      <c r="X41" s="1">
        <v>2.1417099999999998E-3</v>
      </c>
      <c r="Y41" s="1">
        <v>4.5379900000000004E-3</v>
      </c>
      <c r="Z41" s="1">
        <f t="shared" si="4"/>
        <v>6.6797000000000002E-3</v>
      </c>
      <c r="AC41" s="1">
        <v>18000</v>
      </c>
      <c r="AD41" s="1">
        <v>5.50287E-4</v>
      </c>
      <c r="AE41" s="1">
        <v>7.6266400000000003E-4</v>
      </c>
      <c r="AF41" s="1">
        <f t="shared" si="5"/>
        <v>1.3129510000000001E-3</v>
      </c>
      <c r="AH41" s="1">
        <f t="shared" si="6"/>
        <v>1.8</v>
      </c>
      <c r="AI41" s="1">
        <f t="shared" si="7"/>
        <v>0</v>
      </c>
      <c r="AJ41" s="1">
        <f t="shared" si="8"/>
        <v>0</v>
      </c>
      <c r="AK41" s="1">
        <f t="shared" si="9"/>
        <v>0</v>
      </c>
      <c r="AL41" s="1">
        <f t="shared" si="10"/>
        <v>3.195605608591885E-3</v>
      </c>
      <c r="AM41" s="1">
        <f t="shared" si="11"/>
        <v>1.9927505966587111E-2</v>
      </c>
      <c r="AN41" s="1">
        <f t="shared" si="12"/>
        <v>3.9169182577565628E-3</v>
      </c>
    </row>
    <row r="42" spans="1:40" x14ac:dyDescent="0.35">
      <c r="A42" s="1">
        <v>18500</v>
      </c>
      <c r="B42" s="1">
        <v>0</v>
      </c>
      <c r="C42" s="1">
        <v>0</v>
      </c>
      <c r="D42" s="1">
        <f t="shared" si="0"/>
        <v>0</v>
      </c>
      <c r="F42" s="1">
        <v>18500</v>
      </c>
      <c r="G42" s="1">
        <v>0</v>
      </c>
      <c r="H42" s="1">
        <v>0</v>
      </c>
      <c r="I42" s="1">
        <f t="shared" si="1"/>
        <v>0</v>
      </c>
      <c r="K42" s="1">
        <v>18500</v>
      </c>
      <c r="L42" s="1">
        <v>0</v>
      </c>
      <c r="M42" s="1">
        <v>0</v>
      </c>
      <c r="N42" s="1">
        <f t="shared" si="2"/>
        <v>0</v>
      </c>
      <c r="Q42" s="1">
        <v>18500</v>
      </c>
      <c r="R42" s="1">
        <v>6.9424400000000006E-5</v>
      </c>
      <c r="S42" s="1">
        <v>3.2400500000000003E-5</v>
      </c>
      <c r="T42" s="1">
        <f t="shared" si="3"/>
        <v>1.0182490000000002E-4</v>
      </c>
      <c r="W42" s="1">
        <v>18500</v>
      </c>
      <c r="X42" s="1">
        <v>2.85797E-3</v>
      </c>
      <c r="Y42" s="1">
        <v>5.2611300000000001E-3</v>
      </c>
      <c r="Z42" s="1">
        <f t="shared" si="4"/>
        <v>8.1191000000000006E-3</v>
      </c>
      <c r="AC42" s="1">
        <v>18500</v>
      </c>
      <c r="AD42" s="1">
        <v>6.2549100000000005E-4</v>
      </c>
      <c r="AE42" s="1">
        <v>1.39342E-3</v>
      </c>
      <c r="AF42" s="1">
        <f t="shared" si="5"/>
        <v>2.018911E-3</v>
      </c>
      <c r="AH42" s="1">
        <f t="shared" si="6"/>
        <v>1.85</v>
      </c>
      <c r="AI42" s="1">
        <f t="shared" si="7"/>
        <v>0</v>
      </c>
      <c r="AJ42" s="1">
        <f t="shared" si="8"/>
        <v>0</v>
      </c>
      <c r="AK42" s="1">
        <f t="shared" si="9"/>
        <v>0</v>
      </c>
      <c r="AL42" s="1">
        <f t="shared" si="10"/>
        <v>3.037735680190931E-4</v>
      </c>
      <c r="AM42" s="1">
        <f t="shared" si="11"/>
        <v>2.4221658711217182E-2</v>
      </c>
      <c r="AN42" s="1">
        <f t="shared" si="12"/>
        <v>6.0230041766109778E-3</v>
      </c>
    </row>
    <row r="43" spans="1:40" x14ac:dyDescent="0.35">
      <c r="A43" s="1">
        <v>19000</v>
      </c>
      <c r="B43" s="1">
        <v>0</v>
      </c>
      <c r="C43" s="1">
        <v>0</v>
      </c>
      <c r="D43" s="1">
        <f t="shared" si="0"/>
        <v>0</v>
      </c>
      <c r="F43" s="1">
        <v>19000</v>
      </c>
      <c r="G43" s="1">
        <v>0</v>
      </c>
      <c r="H43" s="1">
        <v>0</v>
      </c>
      <c r="I43" s="1">
        <f t="shared" si="1"/>
        <v>0</v>
      </c>
      <c r="K43" s="1">
        <v>19000</v>
      </c>
      <c r="L43" s="1">
        <v>0</v>
      </c>
      <c r="M43" s="1">
        <v>0</v>
      </c>
      <c r="N43" s="1">
        <f t="shared" si="2"/>
        <v>0</v>
      </c>
      <c r="Q43" s="1">
        <v>19000</v>
      </c>
      <c r="R43" s="1">
        <v>9.2565800000000007E-6</v>
      </c>
      <c r="S43" s="1">
        <v>2.7016999999999999E-6</v>
      </c>
      <c r="T43" s="1">
        <f t="shared" si="3"/>
        <v>1.1958280000000001E-5</v>
      </c>
      <c r="W43" s="1">
        <v>19000</v>
      </c>
      <c r="X43" s="1">
        <v>4.1000300000000002E-3</v>
      </c>
      <c r="Y43" s="1">
        <v>6.9617000000000004E-3</v>
      </c>
      <c r="Z43" s="1">
        <f t="shared" si="4"/>
        <v>1.1061730000000001E-2</v>
      </c>
      <c r="AC43" s="1">
        <v>19000</v>
      </c>
      <c r="AD43" s="1">
        <v>6.8680200000000003E-4</v>
      </c>
      <c r="AE43" s="1">
        <v>1.73832E-3</v>
      </c>
      <c r="AF43" s="1">
        <f t="shared" si="5"/>
        <v>2.425122E-3</v>
      </c>
      <c r="AH43" s="1">
        <f t="shared" si="6"/>
        <v>1.9</v>
      </c>
      <c r="AI43" s="1">
        <f t="shared" si="7"/>
        <v>0</v>
      </c>
      <c r="AJ43" s="1">
        <f t="shared" si="8"/>
        <v>0</v>
      </c>
      <c r="AK43" s="1">
        <f t="shared" si="9"/>
        <v>0</v>
      </c>
      <c r="AL43" s="1">
        <f t="shared" si="10"/>
        <v>3.5675059665871114E-5</v>
      </c>
      <c r="AM43" s="1">
        <f t="shared" si="11"/>
        <v>3.3000387828162295E-2</v>
      </c>
      <c r="AN43" s="1">
        <f t="shared" si="12"/>
        <v>7.2348508353221961E-3</v>
      </c>
    </row>
    <row r="44" spans="1:40" x14ac:dyDescent="0.35">
      <c r="A44" s="1">
        <v>19500</v>
      </c>
      <c r="B44" s="1">
        <v>0</v>
      </c>
      <c r="C44" s="1">
        <v>0</v>
      </c>
      <c r="D44" s="1">
        <f t="shared" si="0"/>
        <v>0</v>
      </c>
      <c r="F44" s="1">
        <v>19500</v>
      </c>
      <c r="G44" s="1">
        <v>0</v>
      </c>
      <c r="H44" s="1">
        <v>0</v>
      </c>
      <c r="I44" s="1">
        <f t="shared" si="1"/>
        <v>0</v>
      </c>
      <c r="K44" s="1">
        <v>19500</v>
      </c>
      <c r="L44" s="1">
        <v>0</v>
      </c>
      <c r="M44" s="1">
        <v>0</v>
      </c>
      <c r="N44" s="1">
        <f t="shared" si="2"/>
        <v>0</v>
      </c>
      <c r="Q44" s="1">
        <v>19500</v>
      </c>
      <c r="R44" s="1">
        <v>0</v>
      </c>
      <c r="S44" s="1">
        <v>0</v>
      </c>
      <c r="T44" s="1">
        <f t="shared" si="3"/>
        <v>0</v>
      </c>
      <c r="W44" s="1">
        <v>19500</v>
      </c>
      <c r="X44" s="1">
        <v>5.5915399999999999E-3</v>
      </c>
      <c r="Y44" s="1">
        <v>8.1806599999999993E-3</v>
      </c>
      <c r="Z44" s="1">
        <f t="shared" si="4"/>
        <v>1.3772199999999998E-2</v>
      </c>
      <c r="AC44" s="1">
        <v>19500</v>
      </c>
      <c r="AD44" s="1">
        <v>7.6260900000000003E-4</v>
      </c>
      <c r="AE44" s="1">
        <v>1.8425200000000001E-3</v>
      </c>
      <c r="AF44" s="1">
        <f t="shared" si="5"/>
        <v>2.6051290000000003E-3</v>
      </c>
      <c r="AH44" s="1">
        <f t="shared" si="6"/>
        <v>1.95</v>
      </c>
      <c r="AI44" s="1">
        <f t="shared" si="7"/>
        <v>0</v>
      </c>
      <c r="AJ44" s="1">
        <f t="shared" si="8"/>
        <v>0</v>
      </c>
      <c r="AK44" s="1">
        <f t="shared" si="9"/>
        <v>0</v>
      </c>
      <c r="AL44" s="1">
        <f t="shared" si="10"/>
        <v>0</v>
      </c>
      <c r="AM44" s="1">
        <f t="shared" si="11"/>
        <v>4.1086515513126483E-2</v>
      </c>
      <c r="AN44" s="1">
        <f t="shared" si="12"/>
        <v>7.7718645584725545E-3</v>
      </c>
    </row>
    <row r="45" spans="1:40" x14ac:dyDescent="0.35">
      <c r="A45" s="1">
        <v>20000</v>
      </c>
      <c r="B45" s="1">
        <v>0</v>
      </c>
      <c r="C45" s="1">
        <v>0</v>
      </c>
      <c r="D45" s="1">
        <f t="shared" si="0"/>
        <v>0</v>
      </c>
      <c r="F45" s="1">
        <v>20000</v>
      </c>
      <c r="G45" s="1">
        <v>0</v>
      </c>
      <c r="H45" s="1">
        <v>0</v>
      </c>
      <c r="I45" s="1">
        <f t="shared" si="1"/>
        <v>0</v>
      </c>
      <c r="K45" s="1">
        <v>20000</v>
      </c>
      <c r="L45" s="1">
        <v>0</v>
      </c>
      <c r="M45" s="1">
        <v>0</v>
      </c>
      <c r="N45" s="1">
        <f t="shared" si="2"/>
        <v>0</v>
      </c>
      <c r="Q45" s="1">
        <v>20000</v>
      </c>
      <c r="R45" s="1">
        <v>0</v>
      </c>
      <c r="S45" s="1">
        <v>0</v>
      </c>
      <c r="T45" s="1">
        <f t="shared" si="3"/>
        <v>0</v>
      </c>
      <c r="W45" s="1">
        <v>20000</v>
      </c>
      <c r="X45" s="1">
        <v>7.3010599999999998E-3</v>
      </c>
      <c r="Y45" s="1">
        <v>9.6770299999999997E-3</v>
      </c>
      <c r="Z45" s="1">
        <f t="shared" si="4"/>
        <v>1.6978090000000001E-2</v>
      </c>
      <c r="AC45" s="1">
        <v>20000</v>
      </c>
      <c r="AD45" s="1">
        <v>8.5986099999999996E-4</v>
      </c>
      <c r="AE45" s="1">
        <v>2.3129299999999999E-3</v>
      </c>
      <c r="AF45" s="1">
        <f t="shared" si="5"/>
        <v>3.1727909999999999E-3</v>
      </c>
      <c r="AH45" s="1">
        <f t="shared" si="6"/>
        <v>2</v>
      </c>
      <c r="AI45" s="1">
        <f t="shared" si="7"/>
        <v>0</v>
      </c>
      <c r="AJ45" s="1">
        <f t="shared" si="8"/>
        <v>0</v>
      </c>
      <c r="AK45" s="1">
        <f t="shared" si="9"/>
        <v>0</v>
      </c>
      <c r="AL45" s="1">
        <f t="shared" si="10"/>
        <v>0</v>
      </c>
      <c r="AM45" s="1">
        <f t="shared" si="11"/>
        <v>5.0650626491646783E-2</v>
      </c>
      <c r="AN45" s="1">
        <f t="shared" si="12"/>
        <v>9.4653669451073962E-3</v>
      </c>
    </row>
    <row r="46" spans="1:40" x14ac:dyDescent="0.35">
      <c r="A46" s="1">
        <v>20500</v>
      </c>
      <c r="B46" s="1">
        <v>0</v>
      </c>
      <c r="C46" s="1">
        <v>0</v>
      </c>
      <c r="D46" s="1">
        <f t="shared" si="0"/>
        <v>0</v>
      </c>
      <c r="F46" s="1">
        <v>20500</v>
      </c>
      <c r="G46" s="1">
        <v>0</v>
      </c>
      <c r="H46" s="1">
        <v>0</v>
      </c>
      <c r="I46" s="1">
        <f t="shared" si="1"/>
        <v>0</v>
      </c>
      <c r="K46" s="1">
        <v>20500</v>
      </c>
      <c r="L46" s="1">
        <v>0</v>
      </c>
      <c r="M46" s="1">
        <v>0</v>
      </c>
      <c r="N46" s="1">
        <f t="shared" si="2"/>
        <v>0</v>
      </c>
      <c r="Q46" s="1">
        <v>20500</v>
      </c>
      <c r="R46" s="1">
        <v>0</v>
      </c>
      <c r="S46" s="1">
        <v>0</v>
      </c>
      <c r="T46" s="1">
        <f t="shared" si="3"/>
        <v>0</v>
      </c>
      <c r="W46" s="1">
        <v>20500</v>
      </c>
      <c r="X46" s="1">
        <v>8.2488000000000006E-3</v>
      </c>
      <c r="Y46" s="1">
        <v>9.5738100000000003E-3</v>
      </c>
      <c r="Z46" s="1">
        <f t="shared" si="4"/>
        <v>1.7822610000000003E-2</v>
      </c>
      <c r="AC46" s="1">
        <v>20500</v>
      </c>
      <c r="AD46" s="1">
        <v>1.00453E-3</v>
      </c>
      <c r="AE46" s="1">
        <v>2.0010200000000001E-3</v>
      </c>
      <c r="AF46" s="1">
        <f t="shared" si="5"/>
        <v>3.0055500000000001E-3</v>
      </c>
      <c r="AH46" s="1">
        <f t="shared" si="6"/>
        <v>2.0499999999999998</v>
      </c>
      <c r="AI46" s="1">
        <f t="shared" si="7"/>
        <v>0</v>
      </c>
      <c r="AJ46" s="1">
        <f t="shared" si="8"/>
        <v>0</v>
      </c>
      <c r="AK46" s="1">
        <f t="shared" si="9"/>
        <v>0</v>
      </c>
      <c r="AL46" s="1">
        <f t="shared" si="10"/>
        <v>0</v>
      </c>
      <c r="AM46" s="1">
        <f t="shared" si="11"/>
        <v>5.3170077565632461E-2</v>
      </c>
      <c r="AN46" s="1">
        <f t="shared" si="12"/>
        <v>8.9664379474940319E-3</v>
      </c>
    </row>
    <row r="47" spans="1:40" x14ac:dyDescent="0.35">
      <c r="A47" s="1">
        <v>21000</v>
      </c>
      <c r="B47" s="1">
        <v>0</v>
      </c>
      <c r="C47" s="1">
        <v>0</v>
      </c>
      <c r="D47" s="1">
        <f t="shared" si="0"/>
        <v>0</v>
      </c>
      <c r="F47" s="1">
        <v>21000</v>
      </c>
      <c r="G47" s="1">
        <v>0</v>
      </c>
      <c r="H47" s="1">
        <v>0</v>
      </c>
      <c r="I47" s="1">
        <f t="shared" si="1"/>
        <v>0</v>
      </c>
      <c r="K47" s="1">
        <v>21000</v>
      </c>
      <c r="L47" s="1">
        <v>0</v>
      </c>
      <c r="M47" s="1">
        <v>0</v>
      </c>
      <c r="N47" s="1">
        <f t="shared" si="2"/>
        <v>0</v>
      </c>
      <c r="Q47" s="1">
        <v>21000</v>
      </c>
      <c r="R47" s="1">
        <v>0</v>
      </c>
      <c r="S47" s="1">
        <v>0</v>
      </c>
      <c r="T47" s="1">
        <f t="shared" si="3"/>
        <v>0</v>
      </c>
      <c r="W47" s="1">
        <v>21000</v>
      </c>
      <c r="X47" s="1">
        <v>8.5001599999999997E-3</v>
      </c>
      <c r="Y47" s="1">
        <v>8.3351299999999996E-3</v>
      </c>
      <c r="Z47" s="1">
        <f t="shared" si="4"/>
        <v>1.6835289999999999E-2</v>
      </c>
      <c r="AC47" s="1">
        <v>21000</v>
      </c>
      <c r="AD47" s="1">
        <v>1.16037E-3</v>
      </c>
      <c r="AE47" s="1">
        <v>2.5377500000000001E-3</v>
      </c>
      <c r="AF47" s="1">
        <f t="shared" si="5"/>
        <v>3.6981200000000001E-3</v>
      </c>
      <c r="AH47" s="1">
        <f t="shared" si="6"/>
        <v>2.1</v>
      </c>
      <c r="AI47" s="1">
        <f t="shared" si="7"/>
        <v>0</v>
      </c>
      <c r="AJ47" s="1">
        <f t="shared" si="8"/>
        <v>0</v>
      </c>
      <c r="AK47" s="1">
        <f t="shared" si="9"/>
        <v>0</v>
      </c>
      <c r="AL47" s="1">
        <f t="shared" si="10"/>
        <v>0</v>
      </c>
      <c r="AM47" s="1">
        <f t="shared" si="11"/>
        <v>5.0224612171837706E-2</v>
      </c>
      <c r="AN47" s="1">
        <f t="shared" si="12"/>
        <v>1.1032577565632456E-2</v>
      </c>
    </row>
    <row r="48" spans="1:40" x14ac:dyDescent="0.35">
      <c r="A48" s="1">
        <v>21500</v>
      </c>
      <c r="B48" s="1">
        <v>0</v>
      </c>
      <c r="C48" s="1">
        <v>0</v>
      </c>
      <c r="D48" s="1">
        <f t="shared" si="0"/>
        <v>0</v>
      </c>
      <c r="F48" s="1">
        <v>21500</v>
      </c>
      <c r="G48" s="1">
        <v>0</v>
      </c>
      <c r="H48" s="1">
        <v>0</v>
      </c>
      <c r="I48" s="1">
        <f t="shared" si="1"/>
        <v>0</v>
      </c>
      <c r="K48" s="1">
        <v>21500</v>
      </c>
      <c r="L48" s="1">
        <v>0</v>
      </c>
      <c r="M48" s="1">
        <v>0</v>
      </c>
      <c r="N48" s="1">
        <f t="shared" si="2"/>
        <v>0</v>
      </c>
      <c r="Q48" s="1">
        <v>21500</v>
      </c>
      <c r="R48" s="1">
        <v>0</v>
      </c>
      <c r="S48" s="1">
        <v>0</v>
      </c>
      <c r="T48" s="1">
        <f t="shared" si="3"/>
        <v>0</v>
      </c>
      <c r="W48" s="1">
        <v>21500</v>
      </c>
      <c r="X48" s="1">
        <v>5.5165099999999996E-3</v>
      </c>
      <c r="Y48" s="1">
        <v>4.7138400000000004E-3</v>
      </c>
      <c r="Z48" s="1">
        <f t="shared" si="4"/>
        <v>1.0230349999999999E-2</v>
      </c>
      <c r="AC48" s="1">
        <v>21500</v>
      </c>
      <c r="AD48" s="1">
        <v>1.43884E-3</v>
      </c>
      <c r="AE48" s="1">
        <v>3.0708200000000001E-3</v>
      </c>
      <c r="AF48" s="1">
        <f t="shared" si="5"/>
        <v>4.5096600000000004E-3</v>
      </c>
      <c r="AH48" s="1">
        <f t="shared" si="6"/>
        <v>2.15</v>
      </c>
      <c r="AI48" s="1">
        <f t="shared" si="7"/>
        <v>0</v>
      </c>
      <c r="AJ48" s="1">
        <f t="shared" si="8"/>
        <v>0</v>
      </c>
      <c r="AK48" s="1">
        <f t="shared" si="9"/>
        <v>0</v>
      </c>
      <c r="AL48" s="1">
        <f t="shared" si="10"/>
        <v>0</v>
      </c>
      <c r="AM48" s="1">
        <f t="shared" si="11"/>
        <v>3.0520137231503569E-2</v>
      </c>
      <c r="AN48" s="1">
        <f t="shared" si="12"/>
        <v>1.3453639618138426E-2</v>
      </c>
    </row>
    <row r="49" spans="1:40" x14ac:dyDescent="0.35">
      <c r="A49" s="1">
        <v>22000</v>
      </c>
      <c r="B49" s="1">
        <v>0</v>
      </c>
      <c r="C49" s="1">
        <v>0</v>
      </c>
      <c r="D49" s="1">
        <f t="shared" si="0"/>
        <v>0</v>
      </c>
      <c r="F49" s="1">
        <v>22000</v>
      </c>
      <c r="G49" s="1">
        <v>0</v>
      </c>
      <c r="H49" s="1">
        <v>0</v>
      </c>
      <c r="I49" s="1">
        <f t="shared" si="1"/>
        <v>0</v>
      </c>
      <c r="K49" s="1">
        <v>22000</v>
      </c>
      <c r="L49" s="1">
        <v>0</v>
      </c>
      <c r="M49" s="1">
        <v>0</v>
      </c>
      <c r="N49" s="1">
        <f t="shared" si="2"/>
        <v>0</v>
      </c>
      <c r="Q49" s="1">
        <v>22000</v>
      </c>
      <c r="R49" s="1">
        <v>0</v>
      </c>
      <c r="S49" s="1">
        <v>0</v>
      </c>
      <c r="T49" s="1">
        <f t="shared" si="3"/>
        <v>0</v>
      </c>
      <c r="W49" s="1">
        <v>22000</v>
      </c>
      <c r="X49" s="1">
        <v>2.3911499999999999E-3</v>
      </c>
      <c r="Y49" s="1">
        <v>1.7055099999999999E-3</v>
      </c>
      <c r="Z49" s="1">
        <f t="shared" si="4"/>
        <v>4.0966600000000002E-3</v>
      </c>
      <c r="AC49" s="1">
        <v>22000</v>
      </c>
      <c r="AD49" s="1">
        <v>1.67563E-3</v>
      </c>
      <c r="AE49" s="1">
        <v>3.2824500000000001E-3</v>
      </c>
      <c r="AF49" s="1">
        <f t="shared" si="5"/>
        <v>4.9580800000000001E-3</v>
      </c>
      <c r="AH49" s="1">
        <f t="shared" si="6"/>
        <v>2.2000000000000002</v>
      </c>
      <c r="AI49" s="1">
        <f t="shared" si="7"/>
        <v>0</v>
      </c>
      <c r="AJ49" s="1">
        <f t="shared" si="8"/>
        <v>0</v>
      </c>
      <c r="AK49" s="1">
        <f t="shared" si="9"/>
        <v>0</v>
      </c>
      <c r="AL49" s="1">
        <f t="shared" si="10"/>
        <v>0</v>
      </c>
      <c r="AM49" s="1">
        <f t="shared" si="11"/>
        <v>1.2221539379474938E-2</v>
      </c>
      <c r="AN49" s="1">
        <f t="shared" si="12"/>
        <v>1.4791408114558471E-2</v>
      </c>
    </row>
    <row r="50" spans="1:40" x14ac:dyDescent="0.35">
      <c r="A50" s="1">
        <v>22500</v>
      </c>
      <c r="B50" s="1">
        <v>0</v>
      </c>
      <c r="C50" s="1">
        <v>0</v>
      </c>
      <c r="D50" s="1">
        <f t="shared" si="0"/>
        <v>0</v>
      </c>
      <c r="F50" s="1">
        <v>22500</v>
      </c>
      <c r="G50" s="1">
        <v>0</v>
      </c>
      <c r="H50" s="1">
        <v>0</v>
      </c>
      <c r="I50" s="1">
        <f t="shared" si="1"/>
        <v>0</v>
      </c>
      <c r="K50" s="1">
        <v>22500</v>
      </c>
      <c r="L50" s="1">
        <v>0</v>
      </c>
      <c r="M50" s="1">
        <v>0</v>
      </c>
      <c r="N50" s="1">
        <f t="shared" si="2"/>
        <v>0</v>
      </c>
      <c r="Q50" s="1">
        <v>22500</v>
      </c>
      <c r="R50" s="1">
        <v>0</v>
      </c>
      <c r="S50" s="1">
        <v>0</v>
      </c>
      <c r="T50" s="1">
        <f t="shared" si="3"/>
        <v>0</v>
      </c>
      <c r="W50" s="1">
        <v>22500</v>
      </c>
      <c r="X50" s="1">
        <v>6.1173499999999997E-4</v>
      </c>
      <c r="Y50" s="1">
        <v>3.7215399999999997E-4</v>
      </c>
      <c r="Z50" s="1">
        <f t="shared" si="4"/>
        <v>9.8388899999999994E-4</v>
      </c>
      <c r="AC50" s="1">
        <v>22500</v>
      </c>
      <c r="AD50" s="1">
        <v>2.2204799999999999E-3</v>
      </c>
      <c r="AE50" s="1">
        <v>4.1529399999999999E-3</v>
      </c>
      <c r="AF50" s="1">
        <f t="shared" si="5"/>
        <v>6.3734199999999994E-3</v>
      </c>
      <c r="AH50" s="1">
        <f t="shared" si="6"/>
        <v>2.25</v>
      </c>
      <c r="AI50" s="1">
        <f t="shared" si="7"/>
        <v>0</v>
      </c>
      <c r="AJ50" s="1">
        <f t="shared" si="8"/>
        <v>0</v>
      </c>
      <c r="AK50" s="1">
        <f t="shared" si="9"/>
        <v>0</v>
      </c>
      <c r="AL50" s="1">
        <f t="shared" si="10"/>
        <v>0</v>
      </c>
      <c r="AM50" s="1">
        <f t="shared" si="11"/>
        <v>2.9352297136038181E-3</v>
      </c>
      <c r="AN50" s="1">
        <f t="shared" si="12"/>
        <v>1.9013782816229115E-2</v>
      </c>
    </row>
    <row r="51" spans="1:40" x14ac:dyDescent="0.35">
      <c r="A51" s="1">
        <v>23000</v>
      </c>
      <c r="B51" s="1">
        <v>0</v>
      </c>
      <c r="C51" s="1">
        <v>0</v>
      </c>
      <c r="D51" s="1">
        <f t="shared" si="0"/>
        <v>0</v>
      </c>
      <c r="F51" s="1">
        <v>23000</v>
      </c>
      <c r="G51" s="1">
        <v>0</v>
      </c>
      <c r="H51" s="1">
        <v>0</v>
      </c>
      <c r="I51" s="1">
        <f t="shared" si="1"/>
        <v>0</v>
      </c>
      <c r="K51" s="1">
        <v>23000</v>
      </c>
      <c r="L51" s="1">
        <v>0</v>
      </c>
      <c r="M51" s="1">
        <v>0</v>
      </c>
      <c r="N51" s="1">
        <f t="shared" si="2"/>
        <v>0</v>
      </c>
      <c r="Q51" s="1">
        <v>23000</v>
      </c>
      <c r="R51" s="1">
        <v>0</v>
      </c>
      <c r="S51" s="1">
        <v>0</v>
      </c>
      <c r="T51" s="1">
        <f t="shared" si="3"/>
        <v>0</v>
      </c>
      <c r="W51" s="1">
        <v>23000</v>
      </c>
      <c r="X51" s="1">
        <v>8.0795099999999995E-5</v>
      </c>
      <c r="Y51" s="1">
        <v>4.5875899999999999E-5</v>
      </c>
      <c r="Z51" s="1">
        <f t="shared" si="4"/>
        <v>1.2667099999999999E-4</v>
      </c>
      <c r="AC51" s="1">
        <v>23000</v>
      </c>
      <c r="AD51" s="1">
        <v>2.7508300000000001E-3</v>
      </c>
      <c r="AE51" s="1">
        <v>5.5015200000000002E-3</v>
      </c>
      <c r="AF51" s="1">
        <f t="shared" si="5"/>
        <v>8.2523500000000003E-3</v>
      </c>
      <c r="AH51" s="1">
        <f t="shared" si="6"/>
        <v>2.2999999999999998</v>
      </c>
      <c r="AI51" s="1">
        <f t="shared" si="7"/>
        <v>0</v>
      </c>
      <c r="AJ51" s="1">
        <f t="shared" si="8"/>
        <v>0</v>
      </c>
      <c r="AK51" s="1">
        <f t="shared" si="9"/>
        <v>0</v>
      </c>
      <c r="AL51" s="1">
        <f t="shared" si="10"/>
        <v>0</v>
      </c>
      <c r="AM51" s="1">
        <f t="shared" si="11"/>
        <v>3.7789677804295934E-4</v>
      </c>
      <c r="AN51" s="1">
        <f t="shared" si="12"/>
        <v>2.4619182577565631E-2</v>
      </c>
    </row>
    <row r="52" spans="1:40" x14ac:dyDescent="0.35">
      <c r="A52" s="1">
        <v>23500</v>
      </c>
      <c r="B52" s="1">
        <v>0</v>
      </c>
      <c r="C52" s="1">
        <v>0</v>
      </c>
      <c r="D52" s="1">
        <f t="shared" si="0"/>
        <v>0</v>
      </c>
      <c r="F52" s="1">
        <v>23500</v>
      </c>
      <c r="G52" s="1">
        <v>0</v>
      </c>
      <c r="H52" s="1">
        <v>0</v>
      </c>
      <c r="I52" s="1">
        <f t="shared" si="1"/>
        <v>0</v>
      </c>
      <c r="K52" s="1">
        <v>23500</v>
      </c>
      <c r="L52" s="1">
        <v>0</v>
      </c>
      <c r="M52" s="1">
        <v>0</v>
      </c>
      <c r="N52" s="1">
        <f t="shared" si="2"/>
        <v>0</v>
      </c>
      <c r="Q52" s="1">
        <v>23500</v>
      </c>
      <c r="R52" s="1">
        <v>0</v>
      </c>
      <c r="S52" s="1">
        <v>0</v>
      </c>
      <c r="T52" s="1">
        <f t="shared" si="3"/>
        <v>0</v>
      </c>
      <c r="W52" s="1">
        <v>23500</v>
      </c>
      <c r="X52" s="1">
        <v>1.3465899999999999E-5</v>
      </c>
      <c r="Y52" s="1">
        <v>4.85466E-6</v>
      </c>
      <c r="Z52" s="1">
        <f t="shared" si="4"/>
        <v>1.8320559999999999E-5</v>
      </c>
      <c r="AC52" s="1">
        <v>23500</v>
      </c>
      <c r="AD52" s="1">
        <v>3.6865000000000001E-3</v>
      </c>
      <c r="AE52" s="1">
        <v>6.57721E-3</v>
      </c>
      <c r="AF52" s="1">
        <f t="shared" si="5"/>
        <v>1.0263710000000001E-2</v>
      </c>
      <c r="AH52" s="1">
        <f t="shared" si="6"/>
        <v>2.35</v>
      </c>
      <c r="AI52" s="1">
        <f t="shared" si="7"/>
        <v>0</v>
      </c>
      <c r="AJ52" s="1">
        <f t="shared" si="8"/>
        <v>0</v>
      </c>
      <c r="AK52" s="1">
        <f t="shared" si="9"/>
        <v>0</v>
      </c>
      <c r="AL52" s="1">
        <f t="shared" si="10"/>
        <v>0</v>
      </c>
      <c r="AM52" s="1">
        <f t="shared" si="11"/>
        <v>5.4655608591885435E-5</v>
      </c>
      <c r="AN52" s="1">
        <f t="shared" si="12"/>
        <v>3.0619659904534604E-2</v>
      </c>
    </row>
    <row r="53" spans="1:40" x14ac:dyDescent="0.35">
      <c r="A53" s="1">
        <v>24000</v>
      </c>
      <c r="B53" s="1">
        <v>0</v>
      </c>
      <c r="C53" s="1">
        <v>0</v>
      </c>
      <c r="D53" s="1">
        <f t="shared" si="0"/>
        <v>0</v>
      </c>
      <c r="F53" s="1">
        <v>24000</v>
      </c>
      <c r="G53" s="1">
        <v>0</v>
      </c>
      <c r="H53" s="1">
        <v>0</v>
      </c>
      <c r="I53" s="1">
        <f t="shared" si="1"/>
        <v>0</v>
      </c>
      <c r="K53" s="1">
        <v>24000</v>
      </c>
      <c r="L53" s="1">
        <v>0</v>
      </c>
      <c r="M53" s="1">
        <v>0</v>
      </c>
      <c r="N53" s="1">
        <f t="shared" si="2"/>
        <v>0</v>
      </c>
      <c r="Q53" s="1">
        <v>24000</v>
      </c>
      <c r="R53" s="1">
        <v>0</v>
      </c>
      <c r="S53" s="1">
        <v>0</v>
      </c>
      <c r="T53" s="1">
        <f t="shared" si="3"/>
        <v>0</v>
      </c>
      <c r="W53" s="1">
        <v>24000</v>
      </c>
      <c r="X53" s="1">
        <v>0</v>
      </c>
      <c r="Y53" s="1">
        <v>0</v>
      </c>
      <c r="Z53" s="1">
        <f t="shared" si="4"/>
        <v>0</v>
      </c>
      <c r="AC53" s="1">
        <v>24000</v>
      </c>
      <c r="AD53" s="1">
        <v>4.9103000000000003E-3</v>
      </c>
      <c r="AE53" s="1">
        <v>7.6312699999999999E-3</v>
      </c>
      <c r="AF53" s="1">
        <f t="shared" si="5"/>
        <v>1.254157E-2</v>
      </c>
      <c r="AH53" s="1">
        <f t="shared" si="6"/>
        <v>2.4</v>
      </c>
      <c r="AI53" s="1">
        <f t="shared" si="7"/>
        <v>0</v>
      </c>
      <c r="AJ53" s="1">
        <f t="shared" si="8"/>
        <v>0</v>
      </c>
      <c r="AK53" s="1">
        <f t="shared" si="9"/>
        <v>0</v>
      </c>
      <c r="AL53" s="1">
        <f t="shared" si="10"/>
        <v>0</v>
      </c>
      <c r="AM53" s="1">
        <f t="shared" si="11"/>
        <v>0</v>
      </c>
      <c r="AN53" s="1">
        <f t="shared" si="12"/>
        <v>3.7415184964200474E-2</v>
      </c>
    </row>
    <row r="54" spans="1:40" x14ac:dyDescent="0.35">
      <c r="A54" s="1">
        <v>24500</v>
      </c>
      <c r="B54" s="1">
        <v>0</v>
      </c>
      <c r="C54" s="1">
        <v>0</v>
      </c>
      <c r="D54" s="1">
        <f t="shared" si="0"/>
        <v>0</v>
      </c>
      <c r="F54" s="1">
        <v>24500</v>
      </c>
      <c r="G54" s="1">
        <v>0</v>
      </c>
      <c r="H54" s="1">
        <v>0</v>
      </c>
      <c r="I54" s="1">
        <f t="shared" si="1"/>
        <v>0</v>
      </c>
      <c r="K54" s="1">
        <v>24500</v>
      </c>
      <c r="L54" s="1">
        <v>0</v>
      </c>
      <c r="M54" s="1">
        <v>0</v>
      </c>
      <c r="N54" s="1">
        <f t="shared" si="2"/>
        <v>0</v>
      </c>
      <c r="Q54" s="1">
        <v>24500</v>
      </c>
      <c r="R54" s="1">
        <v>0</v>
      </c>
      <c r="S54" s="1">
        <v>0</v>
      </c>
      <c r="T54" s="1">
        <f t="shared" si="3"/>
        <v>0</v>
      </c>
      <c r="W54" s="1">
        <v>24500</v>
      </c>
      <c r="X54" s="1">
        <v>0</v>
      </c>
      <c r="Y54" s="1">
        <v>0</v>
      </c>
      <c r="Z54" s="1">
        <f t="shared" si="4"/>
        <v>0</v>
      </c>
      <c r="AC54" s="1">
        <v>24500</v>
      </c>
      <c r="AD54" s="1">
        <v>6.5539099999999996E-3</v>
      </c>
      <c r="AE54" s="1">
        <v>9.3126600000000004E-3</v>
      </c>
      <c r="AF54" s="1">
        <f t="shared" si="5"/>
        <v>1.586657E-2</v>
      </c>
      <c r="AH54" s="1">
        <f t="shared" si="6"/>
        <v>2.4500000000000002</v>
      </c>
      <c r="AI54" s="1">
        <f t="shared" si="7"/>
        <v>0</v>
      </c>
      <c r="AJ54" s="1">
        <f t="shared" si="8"/>
        <v>0</v>
      </c>
      <c r="AK54" s="1">
        <f t="shared" si="9"/>
        <v>0</v>
      </c>
      <c r="AL54" s="1">
        <f t="shared" si="10"/>
        <v>0</v>
      </c>
      <c r="AM54" s="1">
        <f t="shared" si="11"/>
        <v>0</v>
      </c>
      <c r="AN54" s="1">
        <f t="shared" si="12"/>
        <v>4.7334636038186155E-2</v>
      </c>
    </row>
    <row r="55" spans="1:40" x14ac:dyDescent="0.35">
      <c r="A55" s="1">
        <v>25000</v>
      </c>
      <c r="B55" s="1">
        <v>0</v>
      </c>
      <c r="C55" s="1">
        <v>0</v>
      </c>
      <c r="D55" s="1">
        <f t="shared" si="0"/>
        <v>0</v>
      </c>
      <c r="F55" s="1">
        <v>25000</v>
      </c>
      <c r="G55" s="1">
        <v>0</v>
      </c>
      <c r="H55" s="1">
        <v>0</v>
      </c>
      <c r="I55" s="1">
        <f t="shared" si="1"/>
        <v>0</v>
      </c>
      <c r="K55" s="1">
        <v>25000</v>
      </c>
      <c r="L55" s="1">
        <v>0</v>
      </c>
      <c r="M55" s="1">
        <v>0</v>
      </c>
      <c r="N55" s="1">
        <f t="shared" si="2"/>
        <v>0</v>
      </c>
      <c r="Q55" s="1">
        <v>25000</v>
      </c>
      <c r="R55" s="1">
        <v>0</v>
      </c>
      <c r="S55" s="1">
        <v>0</v>
      </c>
      <c r="T55" s="1">
        <f t="shared" si="3"/>
        <v>0</v>
      </c>
      <c r="W55" s="1">
        <v>25000</v>
      </c>
      <c r="X55" s="1">
        <v>0</v>
      </c>
      <c r="Y55" s="1">
        <v>0</v>
      </c>
      <c r="Z55" s="1">
        <f t="shared" si="4"/>
        <v>0</v>
      </c>
      <c r="AC55" s="1">
        <v>25000</v>
      </c>
      <c r="AD55" s="1">
        <v>8.1334900000000002E-3</v>
      </c>
      <c r="AE55" s="1">
        <v>1.01172E-2</v>
      </c>
      <c r="AF55" s="1">
        <f t="shared" si="5"/>
        <v>1.825069E-2</v>
      </c>
      <c r="AH55" s="1">
        <f t="shared" si="6"/>
        <v>2.5</v>
      </c>
      <c r="AI55" s="1">
        <f t="shared" si="7"/>
        <v>0</v>
      </c>
      <c r="AJ55" s="1">
        <f t="shared" si="8"/>
        <v>0</v>
      </c>
      <c r="AK55" s="1">
        <f t="shared" si="9"/>
        <v>0</v>
      </c>
      <c r="AL55" s="1">
        <f t="shared" si="10"/>
        <v>0</v>
      </c>
      <c r="AM55" s="1">
        <f t="shared" si="11"/>
        <v>0</v>
      </c>
      <c r="AN55" s="1">
        <f t="shared" si="12"/>
        <v>5.4447165871121708E-2</v>
      </c>
    </row>
    <row r="56" spans="1:40" x14ac:dyDescent="0.35">
      <c r="A56" s="1">
        <v>25500</v>
      </c>
      <c r="B56" s="1">
        <v>0</v>
      </c>
      <c r="C56" s="1">
        <v>0</v>
      </c>
      <c r="D56" s="1">
        <f t="shared" si="0"/>
        <v>0</v>
      </c>
      <c r="F56" s="1">
        <v>25500</v>
      </c>
      <c r="G56" s="1">
        <v>0</v>
      </c>
      <c r="H56" s="1">
        <v>0</v>
      </c>
      <c r="I56" s="1">
        <f t="shared" si="1"/>
        <v>0</v>
      </c>
      <c r="K56" s="1">
        <v>25500</v>
      </c>
      <c r="L56" s="1">
        <v>0</v>
      </c>
      <c r="M56" s="1">
        <v>0</v>
      </c>
      <c r="N56" s="1">
        <f t="shared" si="2"/>
        <v>0</v>
      </c>
      <c r="Q56" s="1">
        <v>25500</v>
      </c>
      <c r="R56" s="1">
        <v>0</v>
      </c>
      <c r="S56" s="1">
        <v>0</v>
      </c>
      <c r="T56" s="1">
        <f t="shared" si="3"/>
        <v>0</v>
      </c>
      <c r="W56" s="1">
        <v>25500</v>
      </c>
      <c r="X56" s="1">
        <v>0</v>
      </c>
      <c r="Y56" s="1">
        <v>0</v>
      </c>
      <c r="Z56" s="1">
        <f t="shared" si="4"/>
        <v>0</v>
      </c>
      <c r="AC56" s="1">
        <v>25500</v>
      </c>
      <c r="AD56" s="1">
        <v>8.6698899999999995E-3</v>
      </c>
      <c r="AE56" s="1">
        <v>9.0947800000000002E-3</v>
      </c>
      <c r="AF56" s="1">
        <f t="shared" si="5"/>
        <v>1.776467E-2</v>
      </c>
      <c r="AH56" s="1">
        <f t="shared" si="6"/>
        <v>2.5499999999999998</v>
      </c>
      <c r="AI56" s="1">
        <f t="shared" si="7"/>
        <v>0</v>
      </c>
      <c r="AJ56" s="1">
        <f t="shared" si="8"/>
        <v>0</v>
      </c>
      <c r="AK56" s="1">
        <f t="shared" si="9"/>
        <v>0</v>
      </c>
      <c r="AL56" s="1">
        <f t="shared" si="10"/>
        <v>0</v>
      </c>
      <c r="AM56" s="1">
        <f t="shared" si="11"/>
        <v>0</v>
      </c>
      <c r="AN56" s="1">
        <f t="shared" si="12"/>
        <v>5.2997225536992841E-2</v>
      </c>
    </row>
    <row r="57" spans="1:40" x14ac:dyDescent="0.35">
      <c r="A57" s="1">
        <v>26000</v>
      </c>
      <c r="B57" s="1">
        <v>0</v>
      </c>
      <c r="C57" s="1">
        <v>0</v>
      </c>
      <c r="D57" s="1">
        <f t="shared" si="0"/>
        <v>0</v>
      </c>
      <c r="F57" s="1">
        <v>26000</v>
      </c>
      <c r="G57" s="1">
        <v>0</v>
      </c>
      <c r="H57" s="1">
        <v>0</v>
      </c>
      <c r="I57" s="1">
        <f t="shared" si="1"/>
        <v>0</v>
      </c>
      <c r="K57" s="1">
        <v>26000</v>
      </c>
      <c r="L57" s="1">
        <v>0</v>
      </c>
      <c r="M57" s="1">
        <v>0</v>
      </c>
      <c r="N57" s="1">
        <f t="shared" si="2"/>
        <v>0</v>
      </c>
      <c r="Q57" s="1">
        <v>26000</v>
      </c>
      <c r="R57" s="1">
        <v>0</v>
      </c>
      <c r="S57" s="1">
        <v>0</v>
      </c>
      <c r="T57" s="1">
        <f t="shared" si="3"/>
        <v>0</v>
      </c>
      <c r="W57" s="1">
        <v>26000</v>
      </c>
      <c r="X57" s="1">
        <v>0</v>
      </c>
      <c r="Y57" s="1">
        <v>0</v>
      </c>
      <c r="Z57" s="1">
        <f t="shared" si="4"/>
        <v>0</v>
      </c>
      <c r="AC57" s="1">
        <v>26000</v>
      </c>
      <c r="AD57" s="1">
        <v>6.5593500000000002E-3</v>
      </c>
      <c r="AE57" s="1">
        <v>5.8288599999999999E-3</v>
      </c>
      <c r="AF57" s="1">
        <f t="shared" si="5"/>
        <v>1.238821E-2</v>
      </c>
      <c r="AH57" s="1">
        <f t="shared" si="6"/>
        <v>2.6</v>
      </c>
      <c r="AI57" s="1">
        <f t="shared" si="7"/>
        <v>0</v>
      </c>
      <c r="AJ57" s="1">
        <f t="shared" si="8"/>
        <v>0</v>
      </c>
      <c r="AK57" s="1">
        <f t="shared" si="9"/>
        <v>0</v>
      </c>
      <c r="AL57" s="1">
        <f t="shared" si="10"/>
        <v>0</v>
      </c>
      <c r="AM57" s="1">
        <f t="shared" si="11"/>
        <v>0</v>
      </c>
      <c r="AN57" s="1">
        <f t="shared" si="12"/>
        <v>3.6957667064439141E-2</v>
      </c>
    </row>
    <row r="58" spans="1:40" x14ac:dyDescent="0.35">
      <c r="A58" s="1">
        <v>26500</v>
      </c>
      <c r="B58" s="1">
        <v>0</v>
      </c>
      <c r="C58" s="1">
        <v>0</v>
      </c>
      <c r="D58" s="1">
        <f t="shared" si="0"/>
        <v>0</v>
      </c>
      <c r="F58" s="1">
        <v>26500</v>
      </c>
      <c r="G58" s="1">
        <v>0</v>
      </c>
      <c r="H58" s="1">
        <v>0</v>
      </c>
      <c r="I58" s="1">
        <f t="shared" si="1"/>
        <v>0</v>
      </c>
      <c r="K58" s="1">
        <v>26500</v>
      </c>
      <c r="L58" s="1">
        <v>0</v>
      </c>
      <c r="M58" s="1">
        <v>0</v>
      </c>
      <c r="N58" s="1">
        <f t="shared" si="2"/>
        <v>0</v>
      </c>
      <c r="Q58" s="1">
        <v>26500</v>
      </c>
      <c r="R58" s="1">
        <v>0</v>
      </c>
      <c r="S58" s="1">
        <v>0</v>
      </c>
      <c r="T58" s="1">
        <f t="shared" si="3"/>
        <v>0</v>
      </c>
      <c r="W58" s="1">
        <v>26500</v>
      </c>
      <c r="X58" s="1">
        <v>0</v>
      </c>
      <c r="Y58" s="1">
        <v>0</v>
      </c>
      <c r="Z58" s="1">
        <f t="shared" si="4"/>
        <v>0</v>
      </c>
      <c r="AC58" s="1">
        <v>26500</v>
      </c>
      <c r="AD58" s="1">
        <v>3.38448E-3</v>
      </c>
      <c r="AE58" s="1">
        <v>2.5569299999999998E-3</v>
      </c>
      <c r="AF58" s="1">
        <f t="shared" si="5"/>
        <v>5.9414099999999994E-3</v>
      </c>
      <c r="AH58" s="1">
        <f t="shared" si="6"/>
        <v>2.65</v>
      </c>
      <c r="AI58" s="1">
        <f t="shared" si="7"/>
        <v>0</v>
      </c>
      <c r="AJ58" s="1">
        <f t="shared" si="8"/>
        <v>0</v>
      </c>
      <c r="AK58" s="1">
        <f t="shared" si="9"/>
        <v>0</v>
      </c>
      <c r="AL58" s="1">
        <f t="shared" si="10"/>
        <v>0</v>
      </c>
      <c r="AM58" s="1">
        <f t="shared" si="11"/>
        <v>0</v>
      </c>
      <c r="AN58" s="1">
        <f t="shared" si="12"/>
        <v>1.7724970167064435E-2</v>
      </c>
    </row>
    <row r="59" spans="1:40" x14ac:dyDescent="0.35">
      <c r="A59" s="1">
        <v>27000</v>
      </c>
      <c r="B59" s="1">
        <v>0</v>
      </c>
      <c r="C59" s="1">
        <v>0</v>
      </c>
      <c r="D59" s="1">
        <f t="shared" si="0"/>
        <v>0</v>
      </c>
      <c r="F59" s="1">
        <v>27000</v>
      </c>
      <c r="G59" s="1">
        <v>0</v>
      </c>
      <c r="H59" s="1">
        <v>0</v>
      </c>
      <c r="I59" s="1">
        <f t="shared" si="1"/>
        <v>0</v>
      </c>
      <c r="K59" s="1">
        <v>27000</v>
      </c>
      <c r="L59" s="1">
        <v>0</v>
      </c>
      <c r="M59" s="1">
        <v>0</v>
      </c>
      <c r="N59" s="1">
        <f t="shared" si="2"/>
        <v>0</v>
      </c>
      <c r="Q59" s="1">
        <v>27000</v>
      </c>
      <c r="R59" s="1">
        <v>0</v>
      </c>
      <c r="S59" s="1">
        <v>0</v>
      </c>
      <c r="T59" s="1">
        <f t="shared" si="3"/>
        <v>0</v>
      </c>
      <c r="W59" s="1">
        <v>27000</v>
      </c>
      <c r="X59" s="1">
        <v>0</v>
      </c>
      <c r="Y59" s="1">
        <v>0</v>
      </c>
      <c r="Z59" s="1">
        <f t="shared" si="4"/>
        <v>0</v>
      </c>
      <c r="AC59" s="1">
        <v>27000</v>
      </c>
      <c r="AD59" s="1">
        <v>1.0619099999999999E-3</v>
      </c>
      <c r="AE59" s="1">
        <v>7.0024200000000001E-4</v>
      </c>
      <c r="AF59" s="1">
        <f t="shared" si="5"/>
        <v>1.7621519999999999E-3</v>
      </c>
      <c r="AH59" s="1">
        <f t="shared" si="6"/>
        <v>2.7</v>
      </c>
      <c r="AI59" s="1">
        <f t="shared" si="7"/>
        <v>0</v>
      </c>
      <c r="AJ59" s="1">
        <f t="shared" si="8"/>
        <v>0</v>
      </c>
      <c r="AK59" s="1">
        <f t="shared" si="9"/>
        <v>0</v>
      </c>
      <c r="AL59" s="1">
        <f t="shared" si="10"/>
        <v>0</v>
      </c>
      <c r="AM59" s="1">
        <f t="shared" si="11"/>
        <v>0</v>
      </c>
      <c r="AN59" s="1">
        <f t="shared" si="12"/>
        <v>5.2570167064439127E-3</v>
      </c>
    </row>
    <row r="60" spans="1:40" x14ac:dyDescent="0.35">
      <c r="A60" s="1">
        <v>27500</v>
      </c>
      <c r="B60" s="1">
        <v>0</v>
      </c>
      <c r="C60" s="1">
        <v>0</v>
      </c>
      <c r="D60" s="1">
        <f t="shared" si="0"/>
        <v>0</v>
      </c>
      <c r="F60" s="1">
        <v>27500</v>
      </c>
      <c r="G60" s="1">
        <v>0</v>
      </c>
      <c r="H60" s="1">
        <v>0</v>
      </c>
      <c r="I60" s="1">
        <f t="shared" si="1"/>
        <v>0</v>
      </c>
      <c r="K60" s="1">
        <v>27500</v>
      </c>
      <c r="L60" s="1">
        <v>0</v>
      </c>
      <c r="M60" s="1">
        <v>0</v>
      </c>
      <c r="N60" s="1">
        <f t="shared" si="2"/>
        <v>0</v>
      </c>
      <c r="Q60" s="1">
        <v>27500</v>
      </c>
      <c r="R60" s="1">
        <v>0</v>
      </c>
      <c r="S60" s="1">
        <v>0</v>
      </c>
      <c r="T60" s="1">
        <f t="shared" si="3"/>
        <v>0</v>
      </c>
      <c r="W60" s="1">
        <v>27500</v>
      </c>
      <c r="X60" s="1">
        <v>0</v>
      </c>
      <c r="Y60" s="1">
        <v>0</v>
      </c>
      <c r="Z60" s="1">
        <f t="shared" si="4"/>
        <v>0</v>
      </c>
      <c r="AC60" s="1">
        <v>27500</v>
      </c>
      <c r="AD60" s="1">
        <v>2.1715499999999999E-4</v>
      </c>
      <c r="AE60" s="1">
        <v>1.2312900000000001E-4</v>
      </c>
      <c r="AF60" s="1">
        <f t="shared" si="5"/>
        <v>3.40284E-4</v>
      </c>
      <c r="AH60" s="1">
        <f t="shared" si="6"/>
        <v>2.75</v>
      </c>
      <c r="AI60" s="1">
        <f t="shared" si="7"/>
        <v>0</v>
      </c>
      <c r="AJ60" s="1">
        <f t="shared" si="8"/>
        <v>0</v>
      </c>
      <c r="AK60" s="1">
        <f t="shared" si="9"/>
        <v>0</v>
      </c>
      <c r="AL60" s="1">
        <f t="shared" si="10"/>
        <v>0</v>
      </c>
      <c r="AM60" s="1">
        <f t="shared" si="11"/>
        <v>0</v>
      </c>
      <c r="AN60" s="1">
        <f t="shared" si="12"/>
        <v>1.0151670644391409E-3</v>
      </c>
    </row>
    <row r="61" spans="1:40" x14ac:dyDescent="0.35">
      <c r="A61" s="1">
        <v>28000</v>
      </c>
      <c r="B61" s="1">
        <v>0</v>
      </c>
      <c r="C61" s="1">
        <v>0</v>
      </c>
      <c r="D61" s="1">
        <f t="shared" si="0"/>
        <v>0</v>
      </c>
      <c r="F61" s="1">
        <v>28000</v>
      </c>
      <c r="G61" s="1">
        <v>0</v>
      </c>
      <c r="H61" s="1">
        <v>0</v>
      </c>
      <c r="I61" s="1">
        <f t="shared" si="1"/>
        <v>0</v>
      </c>
      <c r="K61" s="1">
        <v>28000</v>
      </c>
      <c r="L61" s="1">
        <v>0</v>
      </c>
      <c r="M61" s="1">
        <v>0</v>
      </c>
      <c r="N61" s="1">
        <f t="shared" si="2"/>
        <v>0</v>
      </c>
      <c r="Q61" s="1">
        <v>28000</v>
      </c>
      <c r="R61" s="1">
        <v>0</v>
      </c>
      <c r="S61" s="1">
        <v>0</v>
      </c>
      <c r="T61" s="1">
        <f t="shared" si="3"/>
        <v>0</v>
      </c>
      <c r="W61" s="1">
        <v>28000</v>
      </c>
      <c r="X61" s="1">
        <v>0</v>
      </c>
      <c r="Y61" s="1">
        <v>0</v>
      </c>
      <c r="Z61" s="1">
        <f t="shared" si="4"/>
        <v>0</v>
      </c>
      <c r="AC61" s="1">
        <v>28000</v>
      </c>
      <c r="AD61" s="1">
        <v>1.7215300000000001E-5</v>
      </c>
      <c r="AE61" s="1">
        <v>8.9410800000000001E-6</v>
      </c>
      <c r="AF61" s="1">
        <f t="shared" si="5"/>
        <v>2.6156380000000001E-5</v>
      </c>
      <c r="AH61" s="1">
        <f t="shared" si="6"/>
        <v>2.8</v>
      </c>
      <c r="AI61" s="1">
        <f t="shared" si="7"/>
        <v>0</v>
      </c>
      <c r="AJ61" s="1">
        <f t="shared" si="8"/>
        <v>0</v>
      </c>
      <c r="AK61" s="1">
        <f t="shared" si="9"/>
        <v>0</v>
      </c>
      <c r="AL61" s="1">
        <f t="shared" si="10"/>
        <v>0</v>
      </c>
      <c r="AM61" s="1">
        <f t="shared" si="11"/>
        <v>0</v>
      </c>
      <c r="AN61" s="1">
        <f t="shared" si="12"/>
        <v>7.8032159904534601E-5</v>
      </c>
    </row>
    <row r="62" spans="1:40" x14ac:dyDescent="0.35">
      <c r="A62" s="1">
        <v>28500</v>
      </c>
      <c r="B62" s="1">
        <v>0</v>
      </c>
      <c r="C62" s="1">
        <v>0</v>
      </c>
      <c r="D62" s="1">
        <f t="shared" si="0"/>
        <v>0</v>
      </c>
      <c r="F62" s="1">
        <v>28500</v>
      </c>
      <c r="G62" s="1">
        <v>0</v>
      </c>
      <c r="H62" s="1">
        <v>0</v>
      </c>
      <c r="I62" s="1">
        <f t="shared" si="1"/>
        <v>0</v>
      </c>
      <c r="K62" s="1">
        <v>28500</v>
      </c>
      <c r="L62" s="1">
        <v>0</v>
      </c>
      <c r="M62" s="1">
        <v>0</v>
      </c>
      <c r="N62" s="1">
        <f t="shared" si="2"/>
        <v>0</v>
      </c>
      <c r="Q62" s="1">
        <v>28500</v>
      </c>
      <c r="R62" s="1">
        <v>0</v>
      </c>
      <c r="S62" s="1">
        <v>0</v>
      </c>
      <c r="T62" s="1">
        <f t="shared" si="3"/>
        <v>0</v>
      </c>
      <c r="W62" s="1">
        <v>28500</v>
      </c>
      <c r="X62" s="1">
        <v>0</v>
      </c>
      <c r="Y62" s="1">
        <v>0</v>
      </c>
      <c r="Z62" s="1">
        <f t="shared" si="4"/>
        <v>0</v>
      </c>
      <c r="AC62" s="1">
        <v>28500</v>
      </c>
      <c r="AD62" s="1">
        <v>0</v>
      </c>
      <c r="AE62" s="1">
        <v>0</v>
      </c>
      <c r="AF62" s="1">
        <f t="shared" si="5"/>
        <v>0</v>
      </c>
      <c r="AH62" s="1">
        <f t="shared" si="6"/>
        <v>2.85</v>
      </c>
      <c r="AI62" s="1">
        <f t="shared" si="7"/>
        <v>0</v>
      </c>
      <c r="AJ62" s="1">
        <f t="shared" si="8"/>
        <v>0</v>
      </c>
      <c r="AK62" s="1">
        <f t="shared" si="9"/>
        <v>0</v>
      </c>
      <c r="AL62" s="1">
        <f t="shared" si="10"/>
        <v>0</v>
      </c>
      <c r="AM62" s="1">
        <f t="shared" si="11"/>
        <v>0</v>
      </c>
      <c r="AN62" s="1">
        <f t="shared" si="12"/>
        <v>0</v>
      </c>
    </row>
    <row r="63" spans="1:40" x14ac:dyDescent="0.35">
      <c r="A63" s="1">
        <v>29000</v>
      </c>
      <c r="B63" s="1">
        <v>0</v>
      </c>
      <c r="C63" s="1">
        <v>0</v>
      </c>
      <c r="D63" s="1">
        <f t="shared" si="0"/>
        <v>0</v>
      </c>
      <c r="F63" s="1">
        <v>29000</v>
      </c>
      <c r="G63" s="1">
        <v>0</v>
      </c>
      <c r="H63" s="1">
        <v>0</v>
      </c>
      <c r="I63" s="1">
        <f t="shared" si="1"/>
        <v>0</v>
      </c>
      <c r="K63" s="1">
        <v>29000</v>
      </c>
      <c r="L63" s="1">
        <v>0</v>
      </c>
      <c r="M63" s="1">
        <v>0</v>
      </c>
      <c r="N63" s="1">
        <f t="shared" si="2"/>
        <v>0</v>
      </c>
      <c r="Q63" s="1">
        <v>29000</v>
      </c>
      <c r="R63" s="1">
        <v>0</v>
      </c>
      <c r="S63" s="1">
        <v>0</v>
      </c>
      <c r="T63" s="1">
        <f t="shared" si="3"/>
        <v>0</v>
      </c>
      <c r="W63" s="1">
        <v>29000</v>
      </c>
      <c r="X63" s="1">
        <v>0</v>
      </c>
      <c r="Y63" s="1">
        <v>0</v>
      </c>
      <c r="Z63" s="1">
        <f t="shared" si="4"/>
        <v>0</v>
      </c>
      <c r="AC63" s="1">
        <v>29000</v>
      </c>
      <c r="AD63" s="1">
        <v>0</v>
      </c>
      <c r="AE63" s="1">
        <v>0</v>
      </c>
      <c r="AF63" s="1">
        <f t="shared" si="5"/>
        <v>0</v>
      </c>
      <c r="AH63" s="1">
        <f t="shared" si="6"/>
        <v>2.9</v>
      </c>
      <c r="AI63" s="1">
        <f t="shared" si="7"/>
        <v>0</v>
      </c>
      <c r="AJ63" s="1">
        <f t="shared" si="8"/>
        <v>0</v>
      </c>
      <c r="AK63" s="1">
        <f t="shared" si="9"/>
        <v>0</v>
      </c>
      <c r="AL63" s="1">
        <f t="shared" si="10"/>
        <v>0</v>
      </c>
      <c r="AM63" s="1">
        <f t="shared" si="11"/>
        <v>0</v>
      </c>
      <c r="AN63" s="1">
        <f t="shared" si="12"/>
        <v>0</v>
      </c>
    </row>
    <row r="64" spans="1:40" x14ac:dyDescent="0.35">
      <c r="A64" s="1">
        <v>29500</v>
      </c>
      <c r="B64" s="1">
        <v>0</v>
      </c>
      <c r="C64" s="1">
        <v>0</v>
      </c>
      <c r="D64" s="1">
        <f t="shared" si="0"/>
        <v>0</v>
      </c>
      <c r="F64" s="1">
        <v>29500</v>
      </c>
      <c r="G64" s="1">
        <v>0</v>
      </c>
      <c r="H64" s="1">
        <v>0</v>
      </c>
      <c r="I64" s="1">
        <f t="shared" si="1"/>
        <v>0</v>
      </c>
      <c r="K64" s="1">
        <v>29500</v>
      </c>
      <c r="L64" s="1">
        <v>0</v>
      </c>
      <c r="M64" s="1">
        <v>0</v>
      </c>
      <c r="N64" s="1">
        <f t="shared" si="2"/>
        <v>0</v>
      </c>
      <c r="Q64" s="1">
        <v>29500</v>
      </c>
      <c r="R64" s="1">
        <v>0</v>
      </c>
      <c r="S64" s="1">
        <v>0</v>
      </c>
      <c r="T64" s="1">
        <f t="shared" si="3"/>
        <v>0</v>
      </c>
      <c r="W64" s="1">
        <v>29500</v>
      </c>
      <c r="X64" s="1">
        <v>0</v>
      </c>
      <c r="Y64" s="1">
        <v>0</v>
      </c>
      <c r="Z64" s="1">
        <f t="shared" si="4"/>
        <v>0</v>
      </c>
      <c r="AC64" s="1">
        <v>29500</v>
      </c>
      <c r="AD64" s="1">
        <v>0</v>
      </c>
      <c r="AE64" s="1">
        <v>0</v>
      </c>
      <c r="AF64" s="1">
        <f t="shared" si="5"/>
        <v>0</v>
      </c>
      <c r="AH64" s="1">
        <f t="shared" si="6"/>
        <v>2.95</v>
      </c>
      <c r="AI64" s="1">
        <f t="shared" si="7"/>
        <v>0</v>
      </c>
      <c r="AJ64" s="1">
        <f t="shared" si="8"/>
        <v>0</v>
      </c>
      <c r="AK64" s="1">
        <f t="shared" si="9"/>
        <v>0</v>
      </c>
      <c r="AL64" s="1">
        <f t="shared" si="10"/>
        <v>0</v>
      </c>
      <c r="AM64" s="1">
        <f t="shared" si="11"/>
        <v>0</v>
      </c>
      <c r="AN64" s="1">
        <f t="shared" si="12"/>
        <v>0</v>
      </c>
    </row>
    <row r="65" spans="1:40" x14ac:dyDescent="0.35">
      <c r="A65" s="1">
        <v>30000</v>
      </c>
      <c r="B65" s="1">
        <v>0</v>
      </c>
      <c r="C65" s="1">
        <v>0</v>
      </c>
      <c r="D65" s="1">
        <f t="shared" si="0"/>
        <v>0</v>
      </c>
      <c r="F65" s="1">
        <v>30000</v>
      </c>
      <c r="G65" s="1">
        <v>0</v>
      </c>
      <c r="H65" s="1">
        <v>0</v>
      </c>
      <c r="I65" s="1">
        <f t="shared" si="1"/>
        <v>0</v>
      </c>
      <c r="K65" s="1">
        <v>30000</v>
      </c>
      <c r="L65" s="1">
        <v>0</v>
      </c>
      <c r="M65" s="1">
        <v>0</v>
      </c>
      <c r="N65" s="1">
        <f t="shared" si="2"/>
        <v>0</v>
      </c>
      <c r="Q65" s="1">
        <v>30000</v>
      </c>
      <c r="R65" s="1">
        <v>0</v>
      </c>
      <c r="S65" s="1">
        <v>0</v>
      </c>
      <c r="T65" s="1">
        <f t="shared" si="3"/>
        <v>0</v>
      </c>
      <c r="W65" s="1">
        <v>30000</v>
      </c>
      <c r="X65" s="1">
        <v>0</v>
      </c>
      <c r="Y65" s="1">
        <v>0</v>
      </c>
      <c r="Z65" s="1">
        <f t="shared" si="4"/>
        <v>0</v>
      </c>
      <c r="AC65" s="1">
        <v>30000</v>
      </c>
      <c r="AD65" s="1">
        <v>0</v>
      </c>
      <c r="AE65" s="1">
        <v>0</v>
      </c>
      <c r="AF65" s="1">
        <f t="shared" si="5"/>
        <v>0</v>
      </c>
      <c r="AH65" s="1">
        <f t="shared" si="6"/>
        <v>3</v>
      </c>
      <c r="AI65" s="1">
        <f t="shared" si="7"/>
        <v>0</v>
      </c>
      <c r="AJ65" s="1">
        <f t="shared" si="8"/>
        <v>0</v>
      </c>
      <c r="AK65" s="1">
        <f t="shared" si="9"/>
        <v>0</v>
      </c>
      <c r="AL65" s="1">
        <f t="shared" si="10"/>
        <v>0</v>
      </c>
      <c r="AM65" s="1">
        <f t="shared" si="11"/>
        <v>0</v>
      </c>
      <c r="AN65" s="1">
        <f t="shared" si="12"/>
        <v>0</v>
      </c>
    </row>
    <row r="66" spans="1:40" x14ac:dyDescent="0.35">
      <c r="A66" s="1">
        <v>30500</v>
      </c>
      <c r="B66" s="1">
        <v>0</v>
      </c>
      <c r="C66" s="1">
        <v>0</v>
      </c>
      <c r="D66" s="1">
        <f t="shared" si="0"/>
        <v>0</v>
      </c>
      <c r="F66" s="1">
        <v>30500</v>
      </c>
      <c r="G66" s="1">
        <v>0</v>
      </c>
      <c r="H66" s="1">
        <v>0</v>
      </c>
      <c r="I66" s="1">
        <f t="shared" si="1"/>
        <v>0</v>
      </c>
      <c r="K66" s="1">
        <v>30500</v>
      </c>
      <c r="L66" s="1">
        <v>0</v>
      </c>
      <c r="M66" s="1">
        <v>0</v>
      </c>
      <c r="N66" s="1">
        <f t="shared" si="2"/>
        <v>0</v>
      </c>
      <c r="Q66" s="1">
        <v>30500</v>
      </c>
      <c r="R66" s="1">
        <v>0</v>
      </c>
      <c r="S66" s="1">
        <v>0</v>
      </c>
      <c r="T66" s="1">
        <f t="shared" si="3"/>
        <v>0</v>
      </c>
      <c r="W66" s="1">
        <v>30500</v>
      </c>
      <c r="X66" s="1">
        <v>0</v>
      </c>
      <c r="Y66" s="1">
        <v>0</v>
      </c>
      <c r="Z66" s="1">
        <f t="shared" si="4"/>
        <v>0</v>
      </c>
      <c r="AC66" s="1">
        <v>30500</v>
      </c>
      <c r="AD66" s="1">
        <v>0</v>
      </c>
      <c r="AE66" s="1">
        <v>0</v>
      </c>
      <c r="AF66" s="1">
        <f t="shared" si="5"/>
        <v>0</v>
      </c>
      <c r="AH66" s="1">
        <f t="shared" si="6"/>
        <v>3.05</v>
      </c>
      <c r="AI66" s="1">
        <f t="shared" si="7"/>
        <v>0</v>
      </c>
      <c r="AJ66" s="1">
        <f t="shared" si="8"/>
        <v>0</v>
      </c>
      <c r="AK66" s="1">
        <f t="shared" si="9"/>
        <v>0</v>
      </c>
      <c r="AL66" s="1">
        <f t="shared" si="10"/>
        <v>0</v>
      </c>
      <c r="AM66" s="1">
        <f t="shared" si="11"/>
        <v>0</v>
      </c>
      <c r="AN66" s="1">
        <f t="shared" si="12"/>
        <v>0</v>
      </c>
    </row>
    <row r="67" spans="1:40" x14ac:dyDescent="0.35">
      <c r="A67" s="1">
        <v>31000</v>
      </c>
      <c r="B67" s="1">
        <v>0</v>
      </c>
      <c r="C67" s="1">
        <v>0</v>
      </c>
      <c r="D67" s="1">
        <f t="shared" si="0"/>
        <v>0</v>
      </c>
      <c r="F67" s="1">
        <v>31000</v>
      </c>
      <c r="G67" s="1">
        <v>0</v>
      </c>
      <c r="H67" s="1">
        <v>0</v>
      </c>
      <c r="I67" s="1">
        <f t="shared" si="1"/>
        <v>0</v>
      </c>
      <c r="K67" s="1">
        <v>31000</v>
      </c>
      <c r="L67" s="1">
        <v>0</v>
      </c>
      <c r="M67" s="1">
        <v>0</v>
      </c>
      <c r="N67" s="1">
        <f t="shared" si="2"/>
        <v>0</v>
      </c>
      <c r="Q67" s="1">
        <v>31000</v>
      </c>
      <c r="R67" s="1">
        <v>0</v>
      </c>
      <c r="S67" s="1">
        <v>0</v>
      </c>
      <c r="T67" s="1">
        <f t="shared" si="3"/>
        <v>0</v>
      </c>
      <c r="W67" s="1">
        <v>31000</v>
      </c>
      <c r="X67" s="1">
        <v>0</v>
      </c>
      <c r="Y67" s="1">
        <v>0</v>
      </c>
      <c r="Z67" s="1">
        <f t="shared" si="4"/>
        <v>0</v>
      </c>
      <c r="AC67" s="1">
        <v>31000</v>
      </c>
      <c r="AD67" s="1">
        <v>0</v>
      </c>
      <c r="AE67" s="1">
        <v>0</v>
      </c>
      <c r="AF67" s="1">
        <f t="shared" si="5"/>
        <v>0</v>
      </c>
      <c r="AH67" s="1">
        <f t="shared" si="6"/>
        <v>3.1</v>
      </c>
      <c r="AI67" s="1">
        <f t="shared" si="7"/>
        <v>0</v>
      </c>
      <c r="AJ67" s="1">
        <f t="shared" si="8"/>
        <v>0</v>
      </c>
      <c r="AK67" s="1">
        <f t="shared" si="9"/>
        <v>0</v>
      </c>
      <c r="AL67" s="1">
        <f t="shared" si="10"/>
        <v>0</v>
      </c>
      <c r="AM67" s="1">
        <f t="shared" si="11"/>
        <v>0</v>
      </c>
      <c r="AN67" s="1">
        <f t="shared" si="12"/>
        <v>0</v>
      </c>
    </row>
    <row r="68" spans="1:40" x14ac:dyDescent="0.35">
      <c r="A68" s="1">
        <v>31500</v>
      </c>
      <c r="B68" s="1">
        <v>0</v>
      </c>
      <c r="C68" s="1">
        <v>0</v>
      </c>
      <c r="D68" s="1">
        <f t="shared" si="0"/>
        <v>0</v>
      </c>
      <c r="F68" s="1">
        <v>31500</v>
      </c>
      <c r="G68" s="1">
        <v>0</v>
      </c>
      <c r="H68" s="1">
        <v>0</v>
      </c>
      <c r="I68" s="1">
        <f t="shared" si="1"/>
        <v>0</v>
      </c>
      <c r="K68" s="1">
        <v>31500</v>
      </c>
      <c r="L68" s="1">
        <v>0</v>
      </c>
      <c r="M68" s="1">
        <v>0</v>
      </c>
      <c r="N68" s="1">
        <f t="shared" si="2"/>
        <v>0</v>
      </c>
      <c r="Q68" s="1">
        <v>31500</v>
      </c>
      <c r="R68" s="1">
        <v>0</v>
      </c>
      <c r="S68" s="1">
        <v>0</v>
      </c>
      <c r="T68" s="1">
        <f t="shared" si="3"/>
        <v>0</v>
      </c>
      <c r="W68" s="1">
        <v>31500</v>
      </c>
      <c r="X68" s="1">
        <v>0</v>
      </c>
      <c r="Y68" s="1">
        <v>0</v>
      </c>
      <c r="Z68" s="1">
        <f t="shared" si="4"/>
        <v>0</v>
      </c>
      <c r="AC68" s="1">
        <v>31500</v>
      </c>
      <c r="AD68" s="1">
        <v>0</v>
      </c>
      <c r="AE68" s="1">
        <v>0</v>
      </c>
      <c r="AF68" s="1">
        <f t="shared" si="5"/>
        <v>0</v>
      </c>
      <c r="AH68" s="1">
        <f t="shared" si="6"/>
        <v>3.15</v>
      </c>
      <c r="AI68" s="1">
        <f t="shared" si="7"/>
        <v>0</v>
      </c>
      <c r="AJ68" s="1">
        <f t="shared" si="8"/>
        <v>0</v>
      </c>
      <c r="AK68" s="1">
        <f t="shared" si="9"/>
        <v>0</v>
      </c>
      <c r="AL68" s="1">
        <f t="shared" si="10"/>
        <v>0</v>
      </c>
      <c r="AM68" s="1">
        <f t="shared" si="11"/>
        <v>0</v>
      </c>
      <c r="AN68" s="1">
        <f t="shared" si="12"/>
        <v>0</v>
      </c>
    </row>
    <row r="69" spans="1:40" x14ac:dyDescent="0.35">
      <c r="A69" s="1">
        <v>32000</v>
      </c>
      <c r="B69" s="1">
        <v>0</v>
      </c>
      <c r="C69" s="1">
        <v>0</v>
      </c>
      <c r="D69" s="1">
        <f t="shared" si="0"/>
        <v>0</v>
      </c>
      <c r="F69" s="1">
        <v>32000</v>
      </c>
      <c r="G69" s="1">
        <v>0</v>
      </c>
      <c r="H69" s="1">
        <v>0</v>
      </c>
      <c r="I69" s="1">
        <f t="shared" si="1"/>
        <v>0</v>
      </c>
      <c r="K69" s="1">
        <v>32000</v>
      </c>
      <c r="L69" s="1">
        <v>0</v>
      </c>
      <c r="M69" s="1">
        <v>0</v>
      </c>
      <c r="N69" s="1">
        <f t="shared" si="2"/>
        <v>0</v>
      </c>
      <c r="Q69" s="1">
        <v>32000</v>
      </c>
      <c r="R69" s="1">
        <v>0</v>
      </c>
      <c r="S69" s="1">
        <v>0</v>
      </c>
      <c r="T69" s="1">
        <f t="shared" si="3"/>
        <v>0</v>
      </c>
      <c r="W69" s="1">
        <v>32000</v>
      </c>
      <c r="X69" s="1">
        <v>0</v>
      </c>
      <c r="Y69" s="1">
        <v>0</v>
      </c>
      <c r="Z69" s="1">
        <f t="shared" si="4"/>
        <v>0</v>
      </c>
      <c r="AC69" s="1">
        <v>32000</v>
      </c>
      <c r="AD69" s="1">
        <v>0</v>
      </c>
      <c r="AE69" s="1">
        <v>0</v>
      </c>
      <c r="AF69" s="1">
        <f t="shared" si="5"/>
        <v>0</v>
      </c>
      <c r="AH69" s="1">
        <f t="shared" si="6"/>
        <v>3.2</v>
      </c>
      <c r="AI69" s="1">
        <f t="shared" si="7"/>
        <v>0</v>
      </c>
      <c r="AJ69" s="1">
        <f t="shared" si="8"/>
        <v>0</v>
      </c>
      <c r="AK69" s="1">
        <f t="shared" si="9"/>
        <v>0</v>
      </c>
      <c r="AL69" s="1">
        <f t="shared" si="10"/>
        <v>0</v>
      </c>
      <c r="AM69" s="1">
        <f t="shared" si="11"/>
        <v>0</v>
      </c>
      <c r="AN69" s="1">
        <f t="shared" si="12"/>
        <v>0</v>
      </c>
    </row>
    <row r="70" spans="1:40" x14ac:dyDescent="0.35">
      <c r="A70" s="1">
        <v>32500</v>
      </c>
      <c r="B70" s="1">
        <v>0</v>
      </c>
      <c r="C70" s="1">
        <v>0</v>
      </c>
      <c r="D70" s="1">
        <f t="shared" si="0"/>
        <v>0</v>
      </c>
      <c r="F70" s="1">
        <v>32500</v>
      </c>
      <c r="G70" s="1">
        <v>0</v>
      </c>
      <c r="H70" s="1">
        <v>0</v>
      </c>
      <c r="I70" s="1">
        <f t="shared" si="1"/>
        <v>0</v>
      </c>
      <c r="K70" s="1">
        <v>32500</v>
      </c>
      <c r="L70" s="1">
        <v>0</v>
      </c>
      <c r="M70" s="1">
        <v>0</v>
      </c>
      <c r="N70" s="1">
        <f t="shared" si="2"/>
        <v>0</v>
      </c>
      <c r="Q70" s="1">
        <v>32500</v>
      </c>
      <c r="R70" s="1">
        <v>0</v>
      </c>
      <c r="S70" s="1">
        <v>0</v>
      </c>
      <c r="T70" s="1">
        <f t="shared" si="3"/>
        <v>0</v>
      </c>
      <c r="W70" s="1">
        <v>32500</v>
      </c>
      <c r="X70" s="1">
        <v>0</v>
      </c>
      <c r="Y70" s="1">
        <v>0</v>
      </c>
      <c r="Z70" s="1">
        <f t="shared" si="4"/>
        <v>0</v>
      </c>
      <c r="AC70" s="1">
        <v>32500</v>
      </c>
      <c r="AD70" s="1">
        <v>0</v>
      </c>
      <c r="AE70" s="1">
        <v>0</v>
      </c>
      <c r="AF70" s="1">
        <f t="shared" si="5"/>
        <v>0</v>
      </c>
      <c r="AH70" s="1">
        <f t="shared" si="6"/>
        <v>3.25</v>
      </c>
      <c r="AI70" s="1">
        <f t="shared" si="7"/>
        <v>0</v>
      </c>
      <c r="AJ70" s="1">
        <f t="shared" si="8"/>
        <v>0</v>
      </c>
      <c r="AK70" s="1">
        <f t="shared" si="9"/>
        <v>0</v>
      </c>
      <c r="AL70" s="1">
        <f t="shared" si="10"/>
        <v>0</v>
      </c>
      <c r="AM70" s="1">
        <f t="shared" si="11"/>
        <v>0</v>
      </c>
      <c r="AN70" s="1">
        <f t="shared" si="12"/>
        <v>0</v>
      </c>
    </row>
    <row r="71" spans="1:40" x14ac:dyDescent="0.35">
      <c r="A71" s="1">
        <v>33000</v>
      </c>
      <c r="B71" s="1">
        <v>0</v>
      </c>
      <c r="C71" s="1">
        <v>0</v>
      </c>
      <c r="D71" s="1">
        <f t="shared" ref="D71:D105" si="13">B71+C71</f>
        <v>0</v>
      </c>
      <c r="F71" s="1">
        <v>33000</v>
      </c>
      <c r="G71" s="1">
        <v>0</v>
      </c>
      <c r="H71" s="1">
        <v>0</v>
      </c>
      <c r="I71" s="1">
        <f t="shared" ref="I71:I105" si="14">G71+H71</f>
        <v>0</v>
      </c>
      <c r="K71" s="1">
        <v>33000</v>
      </c>
      <c r="L71" s="1">
        <v>0</v>
      </c>
      <c r="M71" s="1">
        <v>0</v>
      </c>
      <c r="N71" s="1">
        <f t="shared" ref="N71:N105" si="15">L71+M71</f>
        <v>0</v>
      </c>
      <c r="Q71" s="1">
        <v>33000</v>
      </c>
      <c r="R71" s="1">
        <v>0</v>
      </c>
      <c r="S71" s="1">
        <v>0</v>
      </c>
      <c r="T71" s="1">
        <f t="shared" ref="T71:T105" si="16">R71+S71</f>
        <v>0</v>
      </c>
      <c r="W71" s="1">
        <v>33000</v>
      </c>
      <c r="X71" s="1">
        <v>0</v>
      </c>
      <c r="Y71" s="1">
        <v>0</v>
      </c>
      <c r="Z71" s="1">
        <f t="shared" ref="Z71:Z105" si="17">X71+Y71</f>
        <v>0</v>
      </c>
      <c r="AC71" s="1">
        <v>33000</v>
      </c>
      <c r="AD71" s="1">
        <v>0</v>
      </c>
      <c r="AE71" s="1">
        <v>0</v>
      </c>
      <c r="AF71" s="1">
        <f t="shared" ref="AF71:AF105" si="18">AD71+AE71</f>
        <v>0</v>
      </c>
      <c r="AH71" s="1">
        <f t="shared" ref="AH71:AH105" si="19">F71/10000</f>
        <v>3.3</v>
      </c>
      <c r="AI71" s="1">
        <f t="shared" ref="AI71:AI105" si="20">D71*10^8*$AI$1/8.38/10^22</f>
        <v>0</v>
      </c>
      <c r="AJ71" s="1">
        <f t="shared" ref="AJ71:AJ105" si="21">I71*10^8*$AI$1/8.38/10^22</f>
        <v>0</v>
      </c>
      <c r="AK71" s="1">
        <f t="shared" ref="AK71:AK105" si="22">N71*10^8*$AI$1/8.38/10^22</f>
        <v>0</v>
      </c>
      <c r="AL71" s="1">
        <f t="shared" ref="AL71:AL105" si="23">T71*10^8*$AI$1/8.38/10^22</f>
        <v>0</v>
      </c>
      <c r="AM71" s="1">
        <f t="shared" ref="AM71:AM105" si="24">Z71*10^8*$AI$1/8.38/10^22</f>
        <v>0</v>
      </c>
      <c r="AN71" s="1">
        <f t="shared" ref="AN71:AN105" si="25">AF71*10^8*$AI$1/8.38/10^22</f>
        <v>0</v>
      </c>
    </row>
    <row r="72" spans="1:40" x14ac:dyDescent="0.35">
      <c r="A72" s="1">
        <v>33500</v>
      </c>
      <c r="B72" s="1">
        <v>0</v>
      </c>
      <c r="C72" s="1">
        <v>0</v>
      </c>
      <c r="D72" s="1">
        <f t="shared" si="13"/>
        <v>0</v>
      </c>
      <c r="F72" s="1">
        <v>33500</v>
      </c>
      <c r="G72" s="1">
        <v>0</v>
      </c>
      <c r="H72" s="1">
        <v>0</v>
      </c>
      <c r="I72" s="1">
        <f t="shared" si="14"/>
        <v>0</v>
      </c>
      <c r="K72" s="1">
        <v>33500</v>
      </c>
      <c r="L72" s="1">
        <v>0</v>
      </c>
      <c r="M72" s="1">
        <v>0</v>
      </c>
      <c r="N72" s="1">
        <f t="shared" si="15"/>
        <v>0</v>
      </c>
      <c r="Q72" s="1">
        <v>33500</v>
      </c>
      <c r="R72" s="1">
        <v>0</v>
      </c>
      <c r="S72" s="1">
        <v>0</v>
      </c>
      <c r="T72" s="1">
        <f t="shared" si="16"/>
        <v>0</v>
      </c>
      <c r="W72" s="1">
        <v>33500</v>
      </c>
      <c r="X72" s="1">
        <v>0</v>
      </c>
      <c r="Y72" s="1">
        <v>0</v>
      </c>
      <c r="Z72" s="1">
        <f t="shared" si="17"/>
        <v>0</v>
      </c>
      <c r="AC72" s="1">
        <v>33500</v>
      </c>
      <c r="AD72" s="1">
        <v>0</v>
      </c>
      <c r="AE72" s="1">
        <v>0</v>
      </c>
      <c r="AF72" s="1">
        <f t="shared" si="18"/>
        <v>0</v>
      </c>
      <c r="AH72" s="1">
        <f t="shared" si="19"/>
        <v>3.35</v>
      </c>
      <c r="AI72" s="1">
        <f t="shared" si="20"/>
        <v>0</v>
      </c>
      <c r="AJ72" s="1">
        <f t="shared" si="21"/>
        <v>0</v>
      </c>
      <c r="AK72" s="1">
        <f t="shared" si="22"/>
        <v>0</v>
      </c>
      <c r="AL72" s="1">
        <f t="shared" si="23"/>
        <v>0</v>
      </c>
      <c r="AM72" s="1">
        <f t="shared" si="24"/>
        <v>0</v>
      </c>
      <c r="AN72" s="1">
        <f t="shared" si="25"/>
        <v>0</v>
      </c>
    </row>
    <row r="73" spans="1:40" x14ac:dyDescent="0.35">
      <c r="A73" s="1">
        <v>34000</v>
      </c>
      <c r="B73" s="1">
        <v>0</v>
      </c>
      <c r="C73" s="1">
        <v>0</v>
      </c>
      <c r="D73" s="1">
        <f t="shared" si="13"/>
        <v>0</v>
      </c>
      <c r="F73" s="1">
        <v>34000</v>
      </c>
      <c r="G73" s="1">
        <v>0</v>
      </c>
      <c r="H73" s="1">
        <v>0</v>
      </c>
      <c r="I73" s="1">
        <f t="shared" si="14"/>
        <v>0</v>
      </c>
      <c r="K73" s="1">
        <v>34000</v>
      </c>
      <c r="L73" s="1">
        <v>0</v>
      </c>
      <c r="M73" s="1">
        <v>0</v>
      </c>
      <c r="N73" s="1">
        <f t="shared" si="15"/>
        <v>0</v>
      </c>
      <c r="Q73" s="1">
        <v>34000</v>
      </c>
      <c r="R73" s="1">
        <v>0</v>
      </c>
      <c r="S73" s="1">
        <v>0</v>
      </c>
      <c r="T73" s="1">
        <f t="shared" si="16"/>
        <v>0</v>
      </c>
      <c r="W73" s="1">
        <v>34000</v>
      </c>
      <c r="X73" s="1">
        <v>0</v>
      </c>
      <c r="Y73" s="1">
        <v>0</v>
      </c>
      <c r="Z73" s="1">
        <f t="shared" si="17"/>
        <v>0</v>
      </c>
      <c r="AC73" s="1">
        <v>34000</v>
      </c>
      <c r="AD73" s="1">
        <v>0</v>
      </c>
      <c r="AE73" s="1">
        <v>0</v>
      </c>
      <c r="AF73" s="1">
        <f t="shared" si="18"/>
        <v>0</v>
      </c>
      <c r="AH73" s="1">
        <f t="shared" si="19"/>
        <v>3.4</v>
      </c>
      <c r="AI73" s="1">
        <f t="shared" si="20"/>
        <v>0</v>
      </c>
      <c r="AJ73" s="1">
        <f t="shared" si="21"/>
        <v>0</v>
      </c>
      <c r="AK73" s="1">
        <f t="shared" si="22"/>
        <v>0</v>
      </c>
      <c r="AL73" s="1">
        <f t="shared" si="23"/>
        <v>0</v>
      </c>
      <c r="AM73" s="1">
        <f t="shared" si="24"/>
        <v>0</v>
      </c>
      <c r="AN73" s="1">
        <f t="shared" si="25"/>
        <v>0</v>
      </c>
    </row>
    <row r="74" spans="1:40" x14ac:dyDescent="0.35">
      <c r="A74" s="1">
        <v>34500</v>
      </c>
      <c r="B74" s="1">
        <v>0</v>
      </c>
      <c r="C74" s="1">
        <v>0</v>
      </c>
      <c r="D74" s="1">
        <f t="shared" si="13"/>
        <v>0</v>
      </c>
      <c r="F74" s="1">
        <v>34500</v>
      </c>
      <c r="G74" s="1">
        <v>0</v>
      </c>
      <c r="H74" s="1">
        <v>0</v>
      </c>
      <c r="I74" s="1">
        <f t="shared" si="14"/>
        <v>0</v>
      </c>
      <c r="K74" s="1">
        <v>34500</v>
      </c>
      <c r="L74" s="1">
        <v>0</v>
      </c>
      <c r="M74" s="1">
        <v>0</v>
      </c>
      <c r="N74" s="1">
        <f t="shared" si="15"/>
        <v>0</v>
      </c>
      <c r="Q74" s="1">
        <v>34500</v>
      </c>
      <c r="R74" s="1">
        <v>0</v>
      </c>
      <c r="S74" s="1">
        <v>0</v>
      </c>
      <c r="T74" s="1">
        <f t="shared" si="16"/>
        <v>0</v>
      </c>
      <c r="W74" s="1">
        <v>34500</v>
      </c>
      <c r="X74" s="1">
        <v>0</v>
      </c>
      <c r="Y74" s="1">
        <v>0</v>
      </c>
      <c r="Z74" s="1">
        <f t="shared" si="17"/>
        <v>0</v>
      </c>
      <c r="AC74" s="1">
        <v>34500</v>
      </c>
      <c r="AD74" s="1">
        <v>0</v>
      </c>
      <c r="AE74" s="1">
        <v>0</v>
      </c>
      <c r="AF74" s="1">
        <f t="shared" si="18"/>
        <v>0</v>
      </c>
      <c r="AH74" s="1">
        <f t="shared" si="19"/>
        <v>3.45</v>
      </c>
      <c r="AI74" s="1">
        <f t="shared" si="20"/>
        <v>0</v>
      </c>
      <c r="AJ74" s="1">
        <f t="shared" si="21"/>
        <v>0</v>
      </c>
      <c r="AK74" s="1">
        <f t="shared" si="22"/>
        <v>0</v>
      </c>
      <c r="AL74" s="1">
        <f t="shared" si="23"/>
        <v>0</v>
      </c>
      <c r="AM74" s="1">
        <f t="shared" si="24"/>
        <v>0</v>
      </c>
      <c r="AN74" s="1">
        <f t="shared" si="25"/>
        <v>0</v>
      </c>
    </row>
    <row r="75" spans="1:40" x14ac:dyDescent="0.35">
      <c r="A75" s="1">
        <v>35000</v>
      </c>
      <c r="B75" s="1">
        <v>0</v>
      </c>
      <c r="C75" s="1">
        <v>0</v>
      </c>
      <c r="D75" s="1">
        <f t="shared" si="13"/>
        <v>0</v>
      </c>
      <c r="F75" s="1">
        <v>35000</v>
      </c>
      <c r="G75" s="1">
        <v>0</v>
      </c>
      <c r="H75" s="1">
        <v>0</v>
      </c>
      <c r="I75" s="1">
        <f t="shared" si="14"/>
        <v>0</v>
      </c>
      <c r="K75" s="1">
        <v>35000</v>
      </c>
      <c r="L75" s="1">
        <v>0</v>
      </c>
      <c r="M75" s="1">
        <v>0</v>
      </c>
      <c r="N75" s="1">
        <f t="shared" si="15"/>
        <v>0</v>
      </c>
      <c r="Q75" s="1">
        <v>35000</v>
      </c>
      <c r="R75" s="1">
        <v>0</v>
      </c>
      <c r="S75" s="1">
        <v>0</v>
      </c>
      <c r="T75" s="1">
        <f t="shared" si="16"/>
        <v>0</v>
      </c>
      <c r="W75" s="1">
        <v>35000</v>
      </c>
      <c r="X75" s="1">
        <v>0</v>
      </c>
      <c r="Y75" s="1">
        <v>0</v>
      </c>
      <c r="Z75" s="1">
        <f t="shared" si="17"/>
        <v>0</v>
      </c>
      <c r="AC75" s="1">
        <v>35000</v>
      </c>
      <c r="AD75" s="1">
        <v>0</v>
      </c>
      <c r="AE75" s="1">
        <v>0</v>
      </c>
      <c r="AF75" s="1">
        <f t="shared" si="18"/>
        <v>0</v>
      </c>
      <c r="AH75" s="1">
        <f t="shared" si="19"/>
        <v>3.5</v>
      </c>
      <c r="AI75" s="1">
        <f t="shared" si="20"/>
        <v>0</v>
      </c>
      <c r="AJ75" s="1">
        <f t="shared" si="21"/>
        <v>0</v>
      </c>
      <c r="AK75" s="1">
        <f t="shared" si="22"/>
        <v>0</v>
      </c>
      <c r="AL75" s="1">
        <f t="shared" si="23"/>
        <v>0</v>
      </c>
      <c r="AM75" s="1">
        <f t="shared" si="24"/>
        <v>0</v>
      </c>
      <c r="AN75" s="1">
        <f t="shared" si="25"/>
        <v>0</v>
      </c>
    </row>
    <row r="76" spans="1:40" x14ac:dyDescent="0.35">
      <c r="A76" s="1">
        <v>35500</v>
      </c>
      <c r="B76" s="1">
        <v>0</v>
      </c>
      <c r="C76" s="1">
        <v>0</v>
      </c>
      <c r="D76" s="1">
        <f t="shared" si="13"/>
        <v>0</v>
      </c>
      <c r="F76" s="1">
        <v>35500</v>
      </c>
      <c r="G76" s="1">
        <v>0</v>
      </c>
      <c r="H76" s="1">
        <v>0</v>
      </c>
      <c r="I76" s="1">
        <f t="shared" si="14"/>
        <v>0</v>
      </c>
      <c r="K76" s="1">
        <v>35500</v>
      </c>
      <c r="L76" s="1">
        <v>0</v>
      </c>
      <c r="M76" s="1">
        <v>0</v>
      </c>
      <c r="N76" s="1">
        <f t="shared" si="15"/>
        <v>0</v>
      </c>
      <c r="Q76" s="1">
        <v>35500</v>
      </c>
      <c r="R76" s="1">
        <v>0</v>
      </c>
      <c r="S76" s="1">
        <v>0</v>
      </c>
      <c r="T76" s="1">
        <f t="shared" si="16"/>
        <v>0</v>
      </c>
      <c r="W76" s="1">
        <v>35500</v>
      </c>
      <c r="X76" s="1">
        <v>0</v>
      </c>
      <c r="Y76" s="1">
        <v>0</v>
      </c>
      <c r="Z76" s="1">
        <f t="shared" si="17"/>
        <v>0</v>
      </c>
      <c r="AC76" s="1">
        <v>35500</v>
      </c>
      <c r="AD76" s="1">
        <v>0</v>
      </c>
      <c r="AE76" s="1">
        <v>0</v>
      </c>
      <c r="AF76" s="1">
        <f t="shared" si="18"/>
        <v>0</v>
      </c>
      <c r="AH76" s="1">
        <f t="shared" si="19"/>
        <v>3.55</v>
      </c>
      <c r="AI76" s="1">
        <f t="shared" si="20"/>
        <v>0</v>
      </c>
      <c r="AJ76" s="1">
        <f t="shared" si="21"/>
        <v>0</v>
      </c>
      <c r="AK76" s="1">
        <f t="shared" si="22"/>
        <v>0</v>
      </c>
      <c r="AL76" s="1">
        <f t="shared" si="23"/>
        <v>0</v>
      </c>
      <c r="AM76" s="1">
        <f t="shared" si="24"/>
        <v>0</v>
      </c>
      <c r="AN76" s="1">
        <f t="shared" si="25"/>
        <v>0</v>
      </c>
    </row>
    <row r="77" spans="1:40" x14ac:dyDescent="0.35">
      <c r="A77" s="1">
        <v>36000</v>
      </c>
      <c r="B77" s="1">
        <v>0</v>
      </c>
      <c r="C77" s="1">
        <v>0</v>
      </c>
      <c r="D77" s="1">
        <f t="shared" si="13"/>
        <v>0</v>
      </c>
      <c r="F77" s="1">
        <v>36000</v>
      </c>
      <c r="G77" s="1">
        <v>0</v>
      </c>
      <c r="H77" s="1">
        <v>0</v>
      </c>
      <c r="I77" s="1">
        <f t="shared" si="14"/>
        <v>0</v>
      </c>
      <c r="K77" s="1">
        <v>36000</v>
      </c>
      <c r="L77" s="1">
        <v>0</v>
      </c>
      <c r="M77" s="1">
        <v>0</v>
      </c>
      <c r="N77" s="1">
        <f t="shared" si="15"/>
        <v>0</v>
      </c>
      <c r="Q77" s="1">
        <v>36000</v>
      </c>
      <c r="R77" s="1">
        <v>0</v>
      </c>
      <c r="S77" s="1">
        <v>0</v>
      </c>
      <c r="T77" s="1">
        <f t="shared" si="16"/>
        <v>0</v>
      </c>
      <c r="W77" s="1">
        <v>36000</v>
      </c>
      <c r="X77" s="1">
        <v>0</v>
      </c>
      <c r="Y77" s="1">
        <v>0</v>
      </c>
      <c r="Z77" s="1">
        <f t="shared" si="17"/>
        <v>0</v>
      </c>
      <c r="AC77" s="1">
        <v>36000</v>
      </c>
      <c r="AD77" s="1">
        <v>0</v>
      </c>
      <c r="AE77" s="1">
        <v>0</v>
      </c>
      <c r="AF77" s="1">
        <f t="shared" si="18"/>
        <v>0</v>
      </c>
      <c r="AH77" s="1">
        <f t="shared" si="19"/>
        <v>3.6</v>
      </c>
      <c r="AI77" s="1">
        <f t="shared" si="20"/>
        <v>0</v>
      </c>
      <c r="AJ77" s="1">
        <f t="shared" si="21"/>
        <v>0</v>
      </c>
      <c r="AK77" s="1">
        <f t="shared" si="22"/>
        <v>0</v>
      </c>
      <c r="AL77" s="1">
        <f t="shared" si="23"/>
        <v>0</v>
      </c>
      <c r="AM77" s="1">
        <f t="shared" si="24"/>
        <v>0</v>
      </c>
      <c r="AN77" s="1">
        <f t="shared" si="25"/>
        <v>0</v>
      </c>
    </row>
    <row r="78" spans="1:40" x14ac:dyDescent="0.35">
      <c r="A78" s="1">
        <v>36500</v>
      </c>
      <c r="B78" s="1">
        <v>0</v>
      </c>
      <c r="C78" s="1">
        <v>0</v>
      </c>
      <c r="D78" s="1">
        <f t="shared" si="13"/>
        <v>0</v>
      </c>
      <c r="F78" s="1">
        <v>36500</v>
      </c>
      <c r="G78" s="1">
        <v>0</v>
      </c>
      <c r="H78" s="1">
        <v>0</v>
      </c>
      <c r="I78" s="1">
        <f t="shared" si="14"/>
        <v>0</v>
      </c>
      <c r="K78" s="1">
        <v>36500</v>
      </c>
      <c r="L78" s="1">
        <v>0</v>
      </c>
      <c r="M78" s="1">
        <v>0</v>
      </c>
      <c r="N78" s="1">
        <f t="shared" si="15"/>
        <v>0</v>
      </c>
      <c r="Q78" s="1">
        <v>36500</v>
      </c>
      <c r="R78" s="1">
        <v>0</v>
      </c>
      <c r="S78" s="1">
        <v>0</v>
      </c>
      <c r="T78" s="1">
        <f t="shared" si="16"/>
        <v>0</v>
      </c>
      <c r="W78" s="1">
        <v>36500</v>
      </c>
      <c r="X78" s="1">
        <v>0</v>
      </c>
      <c r="Y78" s="1">
        <v>0</v>
      </c>
      <c r="Z78" s="1">
        <f t="shared" si="17"/>
        <v>0</v>
      </c>
      <c r="AC78" s="1">
        <v>36500</v>
      </c>
      <c r="AD78" s="1">
        <v>0</v>
      </c>
      <c r="AE78" s="1">
        <v>0</v>
      </c>
      <c r="AF78" s="1">
        <f t="shared" si="18"/>
        <v>0</v>
      </c>
      <c r="AH78" s="1">
        <f t="shared" si="19"/>
        <v>3.65</v>
      </c>
      <c r="AI78" s="1">
        <f t="shared" si="20"/>
        <v>0</v>
      </c>
      <c r="AJ78" s="1">
        <f t="shared" si="21"/>
        <v>0</v>
      </c>
      <c r="AK78" s="1">
        <f t="shared" si="22"/>
        <v>0</v>
      </c>
      <c r="AL78" s="1">
        <f t="shared" si="23"/>
        <v>0</v>
      </c>
      <c r="AM78" s="1">
        <f t="shared" si="24"/>
        <v>0</v>
      </c>
      <c r="AN78" s="1">
        <f t="shared" si="25"/>
        <v>0</v>
      </c>
    </row>
    <row r="79" spans="1:40" x14ac:dyDescent="0.35">
      <c r="A79" s="1">
        <v>37000</v>
      </c>
      <c r="B79" s="1">
        <v>0</v>
      </c>
      <c r="C79" s="1">
        <v>0</v>
      </c>
      <c r="D79" s="1">
        <f t="shared" si="13"/>
        <v>0</v>
      </c>
      <c r="F79" s="1">
        <v>37000</v>
      </c>
      <c r="G79" s="1">
        <v>0</v>
      </c>
      <c r="H79" s="1">
        <v>0</v>
      </c>
      <c r="I79" s="1">
        <f t="shared" si="14"/>
        <v>0</v>
      </c>
      <c r="K79" s="1">
        <v>37000</v>
      </c>
      <c r="L79" s="1">
        <v>0</v>
      </c>
      <c r="M79" s="1">
        <v>0</v>
      </c>
      <c r="N79" s="1">
        <f t="shared" si="15"/>
        <v>0</v>
      </c>
      <c r="Q79" s="1">
        <v>37000</v>
      </c>
      <c r="R79" s="1">
        <v>0</v>
      </c>
      <c r="S79" s="1">
        <v>0</v>
      </c>
      <c r="T79" s="1">
        <f t="shared" si="16"/>
        <v>0</v>
      </c>
      <c r="W79" s="1">
        <v>37000</v>
      </c>
      <c r="X79" s="1">
        <v>0</v>
      </c>
      <c r="Y79" s="1">
        <v>0</v>
      </c>
      <c r="Z79" s="1">
        <f t="shared" si="17"/>
        <v>0</v>
      </c>
      <c r="AC79" s="1">
        <v>37000</v>
      </c>
      <c r="AD79" s="1">
        <v>0</v>
      </c>
      <c r="AE79" s="1">
        <v>0</v>
      </c>
      <c r="AF79" s="1">
        <f t="shared" si="18"/>
        <v>0</v>
      </c>
      <c r="AH79" s="1">
        <f t="shared" si="19"/>
        <v>3.7</v>
      </c>
      <c r="AI79" s="1">
        <f t="shared" si="20"/>
        <v>0</v>
      </c>
      <c r="AJ79" s="1">
        <f t="shared" si="21"/>
        <v>0</v>
      </c>
      <c r="AK79" s="1">
        <f t="shared" si="22"/>
        <v>0</v>
      </c>
      <c r="AL79" s="1">
        <f t="shared" si="23"/>
        <v>0</v>
      </c>
      <c r="AM79" s="1">
        <f t="shared" si="24"/>
        <v>0</v>
      </c>
      <c r="AN79" s="1">
        <f t="shared" si="25"/>
        <v>0</v>
      </c>
    </row>
    <row r="80" spans="1:40" x14ac:dyDescent="0.35">
      <c r="A80" s="1">
        <v>37500</v>
      </c>
      <c r="B80" s="1">
        <v>0</v>
      </c>
      <c r="C80" s="1">
        <v>0</v>
      </c>
      <c r="D80" s="1">
        <f t="shared" si="13"/>
        <v>0</v>
      </c>
      <c r="F80" s="1">
        <v>37500</v>
      </c>
      <c r="G80" s="1">
        <v>0</v>
      </c>
      <c r="H80" s="1">
        <v>0</v>
      </c>
      <c r="I80" s="1">
        <f t="shared" si="14"/>
        <v>0</v>
      </c>
      <c r="K80" s="1">
        <v>37500</v>
      </c>
      <c r="L80" s="1">
        <v>0</v>
      </c>
      <c r="M80" s="1">
        <v>0</v>
      </c>
      <c r="N80" s="1">
        <f t="shared" si="15"/>
        <v>0</v>
      </c>
      <c r="Q80" s="1">
        <v>37500</v>
      </c>
      <c r="R80" s="1">
        <v>0</v>
      </c>
      <c r="S80" s="1">
        <v>0</v>
      </c>
      <c r="T80" s="1">
        <f t="shared" si="16"/>
        <v>0</v>
      </c>
      <c r="W80" s="1">
        <v>37500</v>
      </c>
      <c r="X80" s="1">
        <v>0</v>
      </c>
      <c r="Y80" s="1">
        <v>0</v>
      </c>
      <c r="Z80" s="1">
        <f t="shared" si="17"/>
        <v>0</v>
      </c>
      <c r="AC80" s="1">
        <v>37500</v>
      </c>
      <c r="AD80" s="1">
        <v>0</v>
      </c>
      <c r="AE80" s="1">
        <v>0</v>
      </c>
      <c r="AF80" s="1">
        <f t="shared" si="18"/>
        <v>0</v>
      </c>
      <c r="AH80" s="1">
        <f t="shared" si="19"/>
        <v>3.75</v>
      </c>
      <c r="AI80" s="1">
        <f t="shared" si="20"/>
        <v>0</v>
      </c>
      <c r="AJ80" s="1">
        <f t="shared" si="21"/>
        <v>0</v>
      </c>
      <c r="AK80" s="1">
        <f t="shared" si="22"/>
        <v>0</v>
      </c>
      <c r="AL80" s="1">
        <f t="shared" si="23"/>
        <v>0</v>
      </c>
      <c r="AM80" s="1">
        <f t="shared" si="24"/>
        <v>0</v>
      </c>
      <c r="AN80" s="1">
        <f t="shared" si="25"/>
        <v>0</v>
      </c>
    </row>
    <row r="81" spans="1:40" x14ac:dyDescent="0.35">
      <c r="A81" s="1">
        <v>38000</v>
      </c>
      <c r="B81" s="1">
        <v>0</v>
      </c>
      <c r="C81" s="1">
        <v>0</v>
      </c>
      <c r="D81" s="1">
        <f t="shared" si="13"/>
        <v>0</v>
      </c>
      <c r="F81" s="1">
        <v>38000</v>
      </c>
      <c r="G81" s="1">
        <v>0</v>
      </c>
      <c r="H81" s="1">
        <v>0</v>
      </c>
      <c r="I81" s="1">
        <f t="shared" si="14"/>
        <v>0</v>
      </c>
      <c r="K81" s="1">
        <v>38000</v>
      </c>
      <c r="L81" s="1">
        <v>0</v>
      </c>
      <c r="M81" s="1">
        <v>0</v>
      </c>
      <c r="N81" s="1">
        <f t="shared" si="15"/>
        <v>0</v>
      </c>
      <c r="Q81" s="1">
        <v>38000</v>
      </c>
      <c r="R81" s="1">
        <v>0</v>
      </c>
      <c r="S81" s="1">
        <v>0</v>
      </c>
      <c r="T81" s="1">
        <f t="shared" si="16"/>
        <v>0</v>
      </c>
      <c r="W81" s="1">
        <v>38000</v>
      </c>
      <c r="X81" s="1">
        <v>0</v>
      </c>
      <c r="Y81" s="1">
        <v>0</v>
      </c>
      <c r="Z81" s="1">
        <f t="shared" si="17"/>
        <v>0</v>
      </c>
      <c r="AC81" s="1">
        <v>38000</v>
      </c>
      <c r="AD81" s="1">
        <v>0</v>
      </c>
      <c r="AE81" s="1">
        <v>0</v>
      </c>
      <c r="AF81" s="1">
        <f t="shared" si="18"/>
        <v>0</v>
      </c>
      <c r="AH81" s="1">
        <f t="shared" si="19"/>
        <v>3.8</v>
      </c>
      <c r="AI81" s="1">
        <f t="shared" si="20"/>
        <v>0</v>
      </c>
      <c r="AJ81" s="1">
        <f t="shared" si="21"/>
        <v>0</v>
      </c>
      <c r="AK81" s="1">
        <f t="shared" si="22"/>
        <v>0</v>
      </c>
      <c r="AL81" s="1">
        <f t="shared" si="23"/>
        <v>0</v>
      </c>
      <c r="AM81" s="1">
        <f t="shared" si="24"/>
        <v>0</v>
      </c>
      <c r="AN81" s="1">
        <f t="shared" si="25"/>
        <v>0</v>
      </c>
    </row>
    <row r="82" spans="1:40" x14ac:dyDescent="0.35">
      <c r="A82" s="1">
        <v>38500</v>
      </c>
      <c r="B82" s="1">
        <v>0</v>
      </c>
      <c r="C82" s="1">
        <v>0</v>
      </c>
      <c r="D82" s="1">
        <f t="shared" si="13"/>
        <v>0</v>
      </c>
      <c r="F82" s="1">
        <v>38500</v>
      </c>
      <c r="G82" s="1">
        <v>0</v>
      </c>
      <c r="H82" s="1">
        <v>0</v>
      </c>
      <c r="I82" s="1">
        <f t="shared" si="14"/>
        <v>0</v>
      </c>
      <c r="K82" s="1">
        <v>38500</v>
      </c>
      <c r="L82" s="1">
        <v>0</v>
      </c>
      <c r="M82" s="1">
        <v>0</v>
      </c>
      <c r="N82" s="1">
        <f t="shared" si="15"/>
        <v>0</v>
      </c>
      <c r="Q82" s="1">
        <v>38500</v>
      </c>
      <c r="R82" s="1">
        <v>0</v>
      </c>
      <c r="S82" s="1">
        <v>0</v>
      </c>
      <c r="T82" s="1">
        <f t="shared" si="16"/>
        <v>0</v>
      </c>
      <c r="W82" s="1">
        <v>38500</v>
      </c>
      <c r="X82" s="1">
        <v>0</v>
      </c>
      <c r="Y82" s="1">
        <v>0</v>
      </c>
      <c r="Z82" s="1">
        <f t="shared" si="17"/>
        <v>0</v>
      </c>
      <c r="AC82" s="1">
        <v>38500</v>
      </c>
      <c r="AD82" s="1">
        <v>0</v>
      </c>
      <c r="AE82" s="1">
        <v>0</v>
      </c>
      <c r="AF82" s="1">
        <f t="shared" si="18"/>
        <v>0</v>
      </c>
      <c r="AH82" s="1">
        <f t="shared" si="19"/>
        <v>3.85</v>
      </c>
      <c r="AI82" s="1">
        <f t="shared" si="20"/>
        <v>0</v>
      </c>
      <c r="AJ82" s="1">
        <f t="shared" si="21"/>
        <v>0</v>
      </c>
      <c r="AK82" s="1">
        <f t="shared" si="22"/>
        <v>0</v>
      </c>
      <c r="AL82" s="1">
        <f t="shared" si="23"/>
        <v>0</v>
      </c>
      <c r="AM82" s="1">
        <f t="shared" si="24"/>
        <v>0</v>
      </c>
      <c r="AN82" s="1">
        <f t="shared" si="25"/>
        <v>0</v>
      </c>
    </row>
    <row r="83" spans="1:40" x14ac:dyDescent="0.35">
      <c r="A83" s="1">
        <v>39000</v>
      </c>
      <c r="B83" s="1">
        <v>0</v>
      </c>
      <c r="C83" s="1">
        <v>0</v>
      </c>
      <c r="D83" s="1">
        <f t="shared" si="13"/>
        <v>0</v>
      </c>
      <c r="F83" s="1">
        <v>39000</v>
      </c>
      <c r="G83" s="1">
        <v>0</v>
      </c>
      <c r="H83" s="1">
        <v>0</v>
      </c>
      <c r="I83" s="1">
        <f t="shared" si="14"/>
        <v>0</v>
      </c>
      <c r="K83" s="1">
        <v>39000</v>
      </c>
      <c r="L83" s="1">
        <v>0</v>
      </c>
      <c r="M83" s="1">
        <v>0</v>
      </c>
      <c r="N83" s="1">
        <f t="shared" si="15"/>
        <v>0</v>
      </c>
      <c r="Q83" s="1">
        <v>39000</v>
      </c>
      <c r="R83" s="1">
        <v>0</v>
      </c>
      <c r="S83" s="1">
        <v>0</v>
      </c>
      <c r="T83" s="1">
        <f t="shared" si="16"/>
        <v>0</v>
      </c>
      <c r="W83" s="1">
        <v>39000</v>
      </c>
      <c r="X83" s="1">
        <v>0</v>
      </c>
      <c r="Y83" s="1">
        <v>0</v>
      </c>
      <c r="Z83" s="1">
        <f t="shared" si="17"/>
        <v>0</v>
      </c>
      <c r="AC83" s="1">
        <v>39000</v>
      </c>
      <c r="AD83" s="1">
        <v>0</v>
      </c>
      <c r="AE83" s="1">
        <v>0</v>
      </c>
      <c r="AF83" s="1">
        <f t="shared" si="18"/>
        <v>0</v>
      </c>
      <c r="AH83" s="1">
        <f t="shared" si="19"/>
        <v>3.9</v>
      </c>
      <c r="AI83" s="1">
        <f t="shared" si="20"/>
        <v>0</v>
      </c>
      <c r="AJ83" s="1">
        <f t="shared" si="21"/>
        <v>0</v>
      </c>
      <c r="AK83" s="1">
        <f t="shared" si="22"/>
        <v>0</v>
      </c>
      <c r="AL83" s="1">
        <f t="shared" si="23"/>
        <v>0</v>
      </c>
      <c r="AM83" s="1">
        <f t="shared" si="24"/>
        <v>0</v>
      </c>
      <c r="AN83" s="1">
        <f t="shared" si="25"/>
        <v>0</v>
      </c>
    </row>
    <row r="84" spans="1:40" x14ac:dyDescent="0.35">
      <c r="A84" s="1">
        <v>39500</v>
      </c>
      <c r="B84" s="1">
        <v>0</v>
      </c>
      <c r="C84" s="1">
        <v>0</v>
      </c>
      <c r="D84" s="1">
        <f t="shared" si="13"/>
        <v>0</v>
      </c>
      <c r="F84" s="1">
        <v>39500</v>
      </c>
      <c r="G84" s="1">
        <v>0</v>
      </c>
      <c r="H84" s="1">
        <v>0</v>
      </c>
      <c r="I84" s="1">
        <f t="shared" si="14"/>
        <v>0</v>
      </c>
      <c r="K84" s="1">
        <v>39500</v>
      </c>
      <c r="L84" s="1">
        <v>0</v>
      </c>
      <c r="M84" s="1">
        <v>0</v>
      </c>
      <c r="N84" s="1">
        <f t="shared" si="15"/>
        <v>0</v>
      </c>
      <c r="Q84" s="1">
        <v>39500</v>
      </c>
      <c r="R84" s="1">
        <v>0</v>
      </c>
      <c r="S84" s="1">
        <v>0</v>
      </c>
      <c r="T84" s="1">
        <f t="shared" si="16"/>
        <v>0</v>
      </c>
      <c r="W84" s="1">
        <v>39500</v>
      </c>
      <c r="X84" s="1">
        <v>0</v>
      </c>
      <c r="Y84" s="1">
        <v>0</v>
      </c>
      <c r="Z84" s="1">
        <f t="shared" si="17"/>
        <v>0</v>
      </c>
      <c r="AC84" s="1">
        <v>39500</v>
      </c>
      <c r="AD84" s="1">
        <v>0</v>
      </c>
      <c r="AE84" s="1">
        <v>0</v>
      </c>
      <c r="AF84" s="1">
        <f t="shared" si="18"/>
        <v>0</v>
      </c>
      <c r="AH84" s="1">
        <f t="shared" si="19"/>
        <v>3.95</v>
      </c>
      <c r="AI84" s="1">
        <f t="shared" si="20"/>
        <v>0</v>
      </c>
      <c r="AJ84" s="1">
        <f t="shared" si="21"/>
        <v>0</v>
      </c>
      <c r="AK84" s="1">
        <f t="shared" si="22"/>
        <v>0</v>
      </c>
      <c r="AL84" s="1">
        <f t="shared" si="23"/>
        <v>0</v>
      </c>
      <c r="AM84" s="1">
        <f t="shared" si="24"/>
        <v>0</v>
      </c>
      <c r="AN84" s="1">
        <f t="shared" si="25"/>
        <v>0</v>
      </c>
    </row>
    <row r="85" spans="1:40" x14ac:dyDescent="0.35">
      <c r="A85" s="1">
        <v>40000</v>
      </c>
      <c r="B85" s="1">
        <v>0</v>
      </c>
      <c r="C85" s="1">
        <v>0</v>
      </c>
      <c r="D85" s="1">
        <f t="shared" si="13"/>
        <v>0</v>
      </c>
      <c r="F85" s="1">
        <v>40000</v>
      </c>
      <c r="G85" s="1">
        <v>0</v>
      </c>
      <c r="H85" s="1">
        <v>0</v>
      </c>
      <c r="I85" s="1">
        <f t="shared" si="14"/>
        <v>0</v>
      </c>
      <c r="K85" s="1">
        <v>40000</v>
      </c>
      <c r="L85" s="1">
        <v>0</v>
      </c>
      <c r="M85" s="1">
        <v>0</v>
      </c>
      <c r="N85" s="1">
        <f t="shared" si="15"/>
        <v>0</v>
      </c>
      <c r="Q85" s="1">
        <v>40000</v>
      </c>
      <c r="R85" s="1">
        <v>0</v>
      </c>
      <c r="S85" s="1">
        <v>0</v>
      </c>
      <c r="T85" s="1">
        <f t="shared" si="16"/>
        <v>0</v>
      </c>
      <c r="W85" s="1">
        <v>40000</v>
      </c>
      <c r="X85" s="1">
        <v>0</v>
      </c>
      <c r="Y85" s="1">
        <v>0</v>
      </c>
      <c r="Z85" s="1">
        <f t="shared" si="17"/>
        <v>0</v>
      </c>
      <c r="AC85" s="1">
        <v>40000</v>
      </c>
      <c r="AD85" s="1">
        <v>0</v>
      </c>
      <c r="AE85" s="1">
        <v>0</v>
      </c>
      <c r="AF85" s="1">
        <f t="shared" si="18"/>
        <v>0</v>
      </c>
      <c r="AH85" s="1">
        <f t="shared" si="19"/>
        <v>4</v>
      </c>
      <c r="AI85" s="1">
        <f t="shared" si="20"/>
        <v>0</v>
      </c>
      <c r="AJ85" s="1">
        <f t="shared" si="21"/>
        <v>0</v>
      </c>
      <c r="AK85" s="1">
        <f t="shared" si="22"/>
        <v>0</v>
      </c>
      <c r="AL85" s="1">
        <f t="shared" si="23"/>
        <v>0</v>
      </c>
      <c r="AM85" s="1">
        <f t="shared" si="24"/>
        <v>0</v>
      </c>
      <c r="AN85" s="1">
        <f t="shared" si="25"/>
        <v>0</v>
      </c>
    </row>
    <row r="86" spans="1:40" x14ac:dyDescent="0.35">
      <c r="A86" s="1">
        <v>40500</v>
      </c>
      <c r="B86" s="1">
        <v>0</v>
      </c>
      <c r="C86" s="1">
        <v>0</v>
      </c>
      <c r="D86" s="1">
        <f t="shared" si="13"/>
        <v>0</v>
      </c>
      <c r="F86" s="1">
        <v>40500</v>
      </c>
      <c r="G86" s="1">
        <v>0</v>
      </c>
      <c r="H86" s="1">
        <v>0</v>
      </c>
      <c r="I86" s="1">
        <f t="shared" si="14"/>
        <v>0</v>
      </c>
      <c r="K86" s="1">
        <v>40500</v>
      </c>
      <c r="L86" s="1">
        <v>0</v>
      </c>
      <c r="M86" s="1">
        <v>0</v>
      </c>
      <c r="N86" s="1">
        <f t="shared" si="15"/>
        <v>0</v>
      </c>
      <c r="Q86" s="1">
        <v>40500</v>
      </c>
      <c r="R86" s="1">
        <v>0</v>
      </c>
      <c r="S86" s="1">
        <v>0</v>
      </c>
      <c r="T86" s="1">
        <f t="shared" si="16"/>
        <v>0</v>
      </c>
      <c r="W86" s="1">
        <v>40500</v>
      </c>
      <c r="X86" s="1">
        <v>0</v>
      </c>
      <c r="Y86" s="1">
        <v>0</v>
      </c>
      <c r="Z86" s="1">
        <f t="shared" si="17"/>
        <v>0</v>
      </c>
      <c r="AC86" s="1">
        <v>40500</v>
      </c>
      <c r="AD86" s="1">
        <v>0</v>
      </c>
      <c r="AE86" s="1">
        <v>0</v>
      </c>
      <c r="AF86" s="1">
        <f t="shared" si="18"/>
        <v>0</v>
      </c>
      <c r="AH86" s="1">
        <f t="shared" si="19"/>
        <v>4.05</v>
      </c>
      <c r="AI86" s="1">
        <f t="shared" si="20"/>
        <v>0</v>
      </c>
      <c r="AJ86" s="1">
        <f t="shared" si="21"/>
        <v>0</v>
      </c>
      <c r="AK86" s="1">
        <f t="shared" si="22"/>
        <v>0</v>
      </c>
      <c r="AL86" s="1">
        <f t="shared" si="23"/>
        <v>0</v>
      </c>
      <c r="AM86" s="1">
        <f t="shared" si="24"/>
        <v>0</v>
      </c>
      <c r="AN86" s="1">
        <f t="shared" si="25"/>
        <v>0</v>
      </c>
    </row>
    <row r="87" spans="1:40" x14ac:dyDescent="0.35">
      <c r="A87" s="1">
        <v>41000</v>
      </c>
      <c r="B87" s="1">
        <v>0</v>
      </c>
      <c r="C87" s="1">
        <v>0</v>
      </c>
      <c r="D87" s="1">
        <f t="shared" si="13"/>
        <v>0</v>
      </c>
      <c r="F87" s="1">
        <v>41000</v>
      </c>
      <c r="G87" s="1">
        <v>0</v>
      </c>
      <c r="H87" s="1">
        <v>0</v>
      </c>
      <c r="I87" s="1">
        <f t="shared" si="14"/>
        <v>0</v>
      </c>
      <c r="K87" s="1">
        <v>41000</v>
      </c>
      <c r="L87" s="1">
        <v>0</v>
      </c>
      <c r="M87" s="1">
        <v>0</v>
      </c>
      <c r="N87" s="1">
        <f t="shared" si="15"/>
        <v>0</v>
      </c>
      <c r="Q87" s="1">
        <v>41000</v>
      </c>
      <c r="R87" s="1">
        <v>0</v>
      </c>
      <c r="S87" s="1">
        <v>0</v>
      </c>
      <c r="T87" s="1">
        <f t="shared" si="16"/>
        <v>0</v>
      </c>
      <c r="W87" s="1">
        <v>41000</v>
      </c>
      <c r="X87" s="1">
        <v>0</v>
      </c>
      <c r="Y87" s="1">
        <v>0</v>
      </c>
      <c r="Z87" s="1">
        <f t="shared" si="17"/>
        <v>0</v>
      </c>
      <c r="AC87" s="1">
        <v>41000</v>
      </c>
      <c r="AD87" s="1">
        <v>0</v>
      </c>
      <c r="AE87" s="1">
        <v>0</v>
      </c>
      <c r="AF87" s="1">
        <f t="shared" si="18"/>
        <v>0</v>
      </c>
      <c r="AH87" s="1">
        <f t="shared" si="19"/>
        <v>4.0999999999999996</v>
      </c>
      <c r="AI87" s="1">
        <f t="shared" si="20"/>
        <v>0</v>
      </c>
      <c r="AJ87" s="1">
        <f t="shared" si="21"/>
        <v>0</v>
      </c>
      <c r="AK87" s="1">
        <f t="shared" si="22"/>
        <v>0</v>
      </c>
      <c r="AL87" s="1">
        <f t="shared" si="23"/>
        <v>0</v>
      </c>
      <c r="AM87" s="1">
        <f t="shared" si="24"/>
        <v>0</v>
      </c>
      <c r="AN87" s="1">
        <f t="shared" si="25"/>
        <v>0</v>
      </c>
    </row>
    <row r="88" spans="1:40" x14ac:dyDescent="0.35">
      <c r="A88" s="1">
        <v>41500</v>
      </c>
      <c r="B88" s="1">
        <v>0</v>
      </c>
      <c r="C88" s="1">
        <v>0</v>
      </c>
      <c r="D88" s="1">
        <f t="shared" si="13"/>
        <v>0</v>
      </c>
      <c r="F88" s="1">
        <v>41500</v>
      </c>
      <c r="G88" s="1">
        <v>0</v>
      </c>
      <c r="H88" s="1">
        <v>0</v>
      </c>
      <c r="I88" s="1">
        <f t="shared" si="14"/>
        <v>0</v>
      </c>
      <c r="K88" s="1">
        <v>41500</v>
      </c>
      <c r="L88" s="1">
        <v>0</v>
      </c>
      <c r="M88" s="1">
        <v>0</v>
      </c>
      <c r="N88" s="1">
        <f t="shared" si="15"/>
        <v>0</v>
      </c>
      <c r="Q88" s="1">
        <v>41500</v>
      </c>
      <c r="R88" s="1">
        <v>0</v>
      </c>
      <c r="S88" s="1">
        <v>0</v>
      </c>
      <c r="T88" s="1">
        <f t="shared" si="16"/>
        <v>0</v>
      </c>
      <c r="W88" s="1">
        <v>41500</v>
      </c>
      <c r="X88" s="1">
        <v>0</v>
      </c>
      <c r="Y88" s="1">
        <v>0</v>
      </c>
      <c r="Z88" s="1">
        <f t="shared" si="17"/>
        <v>0</v>
      </c>
      <c r="AC88" s="1">
        <v>41500</v>
      </c>
      <c r="AD88" s="1">
        <v>0</v>
      </c>
      <c r="AE88" s="1">
        <v>0</v>
      </c>
      <c r="AF88" s="1">
        <f t="shared" si="18"/>
        <v>0</v>
      </c>
      <c r="AH88" s="1">
        <f t="shared" si="19"/>
        <v>4.1500000000000004</v>
      </c>
      <c r="AI88" s="1">
        <f t="shared" si="20"/>
        <v>0</v>
      </c>
      <c r="AJ88" s="1">
        <f t="shared" si="21"/>
        <v>0</v>
      </c>
      <c r="AK88" s="1">
        <f t="shared" si="22"/>
        <v>0</v>
      </c>
      <c r="AL88" s="1">
        <f t="shared" si="23"/>
        <v>0</v>
      </c>
      <c r="AM88" s="1">
        <f t="shared" si="24"/>
        <v>0</v>
      </c>
      <c r="AN88" s="1">
        <f t="shared" si="25"/>
        <v>0</v>
      </c>
    </row>
    <row r="89" spans="1:40" x14ac:dyDescent="0.35">
      <c r="A89" s="1">
        <v>42000</v>
      </c>
      <c r="B89" s="1">
        <v>0</v>
      </c>
      <c r="C89" s="1">
        <v>0</v>
      </c>
      <c r="D89" s="1">
        <f t="shared" si="13"/>
        <v>0</v>
      </c>
      <c r="F89" s="1">
        <v>42000</v>
      </c>
      <c r="G89" s="1">
        <v>0</v>
      </c>
      <c r="H89" s="1">
        <v>0</v>
      </c>
      <c r="I89" s="1">
        <f t="shared" si="14"/>
        <v>0</v>
      </c>
      <c r="K89" s="1">
        <v>42000</v>
      </c>
      <c r="L89" s="1">
        <v>0</v>
      </c>
      <c r="M89" s="1">
        <v>0</v>
      </c>
      <c r="N89" s="1">
        <f t="shared" si="15"/>
        <v>0</v>
      </c>
      <c r="Q89" s="1">
        <v>42000</v>
      </c>
      <c r="R89" s="1">
        <v>0</v>
      </c>
      <c r="S89" s="1">
        <v>0</v>
      </c>
      <c r="T89" s="1">
        <f t="shared" si="16"/>
        <v>0</v>
      </c>
      <c r="W89" s="1">
        <v>42000</v>
      </c>
      <c r="X89" s="1">
        <v>0</v>
      </c>
      <c r="Y89" s="1">
        <v>0</v>
      </c>
      <c r="Z89" s="1">
        <f t="shared" si="17"/>
        <v>0</v>
      </c>
      <c r="AC89" s="1">
        <v>42000</v>
      </c>
      <c r="AD89" s="1">
        <v>0</v>
      </c>
      <c r="AE89" s="1">
        <v>0</v>
      </c>
      <c r="AF89" s="1">
        <f t="shared" si="18"/>
        <v>0</v>
      </c>
      <c r="AH89" s="1">
        <f t="shared" si="19"/>
        <v>4.2</v>
      </c>
      <c r="AI89" s="1">
        <f t="shared" si="20"/>
        <v>0</v>
      </c>
      <c r="AJ89" s="1">
        <f t="shared" si="21"/>
        <v>0</v>
      </c>
      <c r="AK89" s="1">
        <f t="shared" si="22"/>
        <v>0</v>
      </c>
      <c r="AL89" s="1">
        <f t="shared" si="23"/>
        <v>0</v>
      </c>
      <c r="AM89" s="1">
        <f t="shared" si="24"/>
        <v>0</v>
      </c>
      <c r="AN89" s="1">
        <f t="shared" si="25"/>
        <v>0</v>
      </c>
    </row>
    <row r="90" spans="1:40" x14ac:dyDescent="0.35">
      <c r="A90" s="1">
        <v>42500</v>
      </c>
      <c r="B90" s="1">
        <v>0</v>
      </c>
      <c r="C90" s="1">
        <v>0</v>
      </c>
      <c r="D90" s="1">
        <f t="shared" si="13"/>
        <v>0</v>
      </c>
      <c r="F90" s="1">
        <v>42500</v>
      </c>
      <c r="G90" s="1">
        <v>0</v>
      </c>
      <c r="H90" s="1">
        <v>0</v>
      </c>
      <c r="I90" s="1">
        <f t="shared" si="14"/>
        <v>0</v>
      </c>
      <c r="K90" s="1">
        <v>42500</v>
      </c>
      <c r="L90" s="1">
        <v>0</v>
      </c>
      <c r="M90" s="1">
        <v>0</v>
      </c>
      <c r="N90" s="1">
        <f t="shared" si="15"/>
        <v>0</v>
      </c>
      <c r="Q90" s="1">
        <v>42500</v>
      </c>
      <c r="R90" s="1">
        <v>0</v>
      </c>
      <c r="S90" s="1">
        <v>0</v>
      </c>
      <c r="T90" s="1">
        <f t="shared" si="16"/>
        <v>0</v>
      </c>
      <c r="W90" s="1">
        <v>42500</v>
      </c>
      <c r="X90" s="1">
        <v>0</v>
      </c>
      <c r="Y90" s="1">
        <v>0</v>
      </c>
      <c r="Z90" s="1">
        <f t="shared" si="17"/>
        <v>0</v>
      </c>
      <c r="AC90" s="1">
        <v>42500</v>
      </c>
      <c r="AD90" s="1">
        <v>0</v>
      </c>
      <c r="AE90" s="1">
        <v>0</v>
      </c>
      <c r="AF90" s="1">
        <f t="shared" si="18"/>
        <v>0</v>
      </c>
      <c r="AH90" s="1">
        <f t="shared" si="19"/>
        <v>4.25</v>
      </c>
      <c r="AI90" s="1">
        <f t="shared" si="20"/>
        <v>0</v>
      </c>
      <c r="AJ90" s="1">
        <f t="shared" si="21"/>
        <v>0</v>
      </c>
      <c r="AK90" s="1">
        <f t="shared" si="22"/>
        <v>0</v>
      </c>
      <c r="AL90" s="1">
        <f t="shared" si="23"/>
        <v>0</v>
      </c>
      <c r="AM90" s="1">
        <f t="shared" si="24"/>
        <v>0</v>
      </c>
      <c r="AN90" s="1">
        <f t="shared" si="25"/>
        <v>0</v>
      </c>
    </row>
    <row r="91" spans="1:40" x14ac:dyDescent="0.35">
      <c r="A91" s="1">
        <v>43000</v>
      </c>
      <c r="B91" s="1">
        <v>0</v>
      </c>
      <c r="C91" s="1">
        <v>0</v>
      </c>
      <c r="D91" s="1">
        <f t="shared" si="13"/>
        <v>0</v>
      </c>
      <c r="F91" s="1">
        <v>43000</v>
      </c>
      <c r="G91" s="1">
        <v>0</v>
      </c>
      <c r="H91" s="1">
        <v>0</v>
      </c>
      <c r="I91" s="1">
        <f t="shared" si="14"/>
        <v>0</v>
      </c>
      <c r="K91" s="1">
        <v>43000</v>
      </c>
      <c r="L91" s="1">
        <v>0</v>
      </c>
      <c r="M91" s="1">
        <v>0</v>
      </c>
      <c r="N91" s="1">
        <f t="shared" si="15"/>
        <v>0</v>
      </c>
      <c r="Q91" s="1">
        <v>43000</v>
      </c>
      <c r="R91" s="1">
        <v>0</v>
      </c>
      <c r="S91" s="1">
        <v>0</v>
      </c>
      <c r="T91" s="1">
        <f t="shared" si="16"/>
        <v>0</v>
      </c>
      <c r="W91" s="1">
        <v>43000</v>
      </c>
      <c r="X91" s="1">
        <v>0</v>
      </c>
      <c r="Y91" s="1">
        <v>0</v>
      </c>
      <c r="Z91" s="1">
        <f t="shared" si="17"/>
        <v>0</v>
      </c>
      <c r="AC91" s="1">
        <v>43000</v>
      </c>
      <c r="AD91" s="1">
        <v>0</v>
      </c>
      <c r="AE91" s="1">
        <v>0</v>
      </c>
      <c r="AF91" s="1">
        <f t="shared" si="18"/>
        <v>0</v>
      </c>
      <c r="AH91" s="1">
        <f t="shared" si="19"/>
        <v>4.3</v>
      </c>
      <c r="AI91" s="1">
        <f t="shared" si="20"/>
        <v>0</v>
      </c>
      <c r="AJ91" s="1">
        <f t="shared" si="21"/>
        <v>0</v>
      </c>
      <c r="AK91" s="1">
        <f t="shared" si="22"/>
        <v>0</v>
      </c>
      <c r="AL91" s="1">
        <f t="shared" si="23"/>
        <v>0</v>
      </c>
      <c r="AM91" s="1">
        <f t="shared" si="24"/>
        <v>0</v>
      </c>
      <c r="AN91" s="1">
        <f t="shared" si="25"/>
        <v>0</v>
      </c>
    </row>
    <row r="92" spans="1:40" x14ac:dyDescent="0.35">
      <c r="A92" s="1">
        <v>43500</v>
      </c>
      <c r="B92" s="1">
        <v>0</v>
      </c>
      <c r="C92" s="1">
        <v>0</v>
      </c>
      <c r="D92" s="1">
        <f t="shared" si="13"/>
        <v>0</v>
      </c>
      <c r="F92" s="1">
        <v>43500</v>
      </c>
      <c r="G92" s="1">
        <v>0</v>
      </c>
      <c r="H92" s="1">
        <v>0</v>
      </c>
      <c r="I92" s="1">
        <f t="shared" si="14"/>
        <v>0</v>
      </c>
      <c r="K92" s="1">
        <v>43500</v>
      </c>
      <c r="L92" s="1">
        <v>0</v>
      </c>
      <c r="M92" s="1">
        <v>0</v>
      </c>
      <c r="N92" s="1">
        <f t="shared" si="15"/>
        <v>0</v>
      </c>
      <c r="Q92" s="1">
        <v>43500</v>
      </c>
      <c r="R92" s="1">
        <v>0</v>
      </c>
      <c r="S92" s="1">
        <v>0</v>
      </c>
      <c r="T92" s="1">
        <f t="shared" si="16"/>
        <v>0</v>
      </c>
      <c r="W92" s="1">
        <v>43500</v>
      </c>
      <c r="X92" s="1">
        <v>0</v>
      </c>
      <c r="Y92" s="1">
        <v>0</v>
      </c>
      <c r="Z92" s="1">
        <f t="shared" si="17"/>
        <v>0</v>
      </c>
      <c r="AC92" s="1">
        <v>43500</v>
      </c>
      <c r="AD92" s="1">
        <v>0</v>
      </c>
      <c r="AE92" s="1">
        <v>0</v>
      </c>
      <c r="AF92" s="1">
        <f t="shared" si="18"/>
        <v>0</v>
      </c>
      <c r="AH92" s="1">
        <f t="shared" si="19"/>
        <v>4.3499999999999996</v>
      </c>
      <c r="AI92" s="1">
        <f t="shared" si="20"/>
        <v>0</v>
      </c>
      <c r="AJ92" s="1">
        <f t="shared" si="21"/>
        <v>0</v>
      </c>
      <c r="AK92" s="1">
        <f t="shared" si="22"/>
        <v>0</v>
      </c>
      <c r="AL92" s="1">
        <f t="shared" si="23"/>
        <v>0</v>
      </c>
      <c r="AM92" s="1">
        <f t="shared" si="24"/>
        <v>0</v>
      </c>
      <c r="AN92" s="1">
        <f t="shared" si="25"/>
        <v>0</v>
      </c>
    </row>
    <row r="93" spans="1:40" x14ac:dyDescent="0.35">
      <c r="A93" s="1">
        <v>44000</v>
      </c>
      <c r="B93" s="1">
        <v>0</v>
      </c>
      <c r="C93" s="1">
        <v>0</v>
      </c>
      <c r="D93" s="1">
        <f t="shared" si="13"/>
        <v>0</v>
      </c>
      <c r="F93" s="1">
        <v>44000</v>
      </c>
      <c r="G93" s="1">
        <v>0</v>
      </c>
      <c r="H93" s="1">
        <v>0</v>
      </c>
      <c r="I93" s="1">
        <f t="shared" si="14"/>
        <v>0</v>
      </c>
      <c r="K93" s="1">
        <v>44000</v>
      </c>
      <c r="L93" s="1">
        <v>0</v>
      </c>
      <c r="M93" s="1">
        <v>0</v>
      </c>
      <c r="N93" s="1">
        <f t="shared" si="15"/>
        <v>0</v>
      </c>
      <c r="Q93" s="1">
        <v>44000</v>
      </c>
      <c r="R93" s="1">
        <v>0</v>
      </c>
      <c r="S93" s="1">
        <v>0</v>
      </c>
      <c r="T93" s="1">
        <f t="shared" si="16"/>
        <v>0</v>
      </c>
      <c r="W93" s="1">
        <v>44000</v>
      </c>
      <c r="X93" s="1">
        <v>0</v>
      </c>
      <c r="Y93" s="1">
        <v>0</v>
      </c>
      <c r="Z93" s="1">
        <f t="shared" si="17"/>
        <v>0</v>
      </c>
      <c r="AC93" s="1">
        <v>44000</v>
      </c>
      <c r="AD93" s="1">
        <v>0</v>
      </c>
      <c r="AE93" s="1">
        <v>0</v>
      </c>
      <c r="AF93" s="1">
        <f t="shared" si="18"/>
        <v>0</v>
      </c>
      <c r="AH93" s="1">
        <f t="shared" si="19"/>
        <v>4.4000000000000004</v>
      </c>
      <c r="AI93" s="1">
        <f t="shared" si="20"/>
        <v>0</v>
      </c>
      <c r="AJ93" s="1">
        <f t="shared" si="21"/>
        <v>0</v>
      </c>
      <c r="AK93" s="1">
        <f t="shared" si="22"/>
        <v>0</v>
      </c>
      <c r="AL93" s="1">
        <f t="shared" si="23"/>
        <v>0</v>
      </c>
      <c r="AM93" s="1">
        <f t="shared" si="24"/>
        <v>0</v>
      </c>
      <c r="AN93" s="1">
        <f t="shared" si="25"/>
        <v>0</v>
      </c>
    </row>
    <row r="94" spans="1:40" x14ac:dyDescent="0.35">
      <c r="A94" s="1">
        <v>44500</v>
      </c>
      <c r="B94" s="1">
        <v>0</v>
      </c>
      <c r="C94" s="1">
        <v>0</v>
      </c>
      <c r="D94" s="1">
        <f t="shared" si="13"/>
        <v>0</v>
      </c>
      <c r="F94" s="1">
        <v>44500</v>
      </c>
      <c r="G94" s="1">
        <v>0</v>
      </c>
      <c r="H94" s="1">
        <v>0</v>
      </c>
      <c r="I94" s="1">
        <f t="shared" si="14"/>
        <v>0</v>
      </c>
      <c r="K94" s="1">
        <v>44500</v>
      </c>
      <c r="L94" s="1">
        <v>0</v>
      </c>
      <c r="M94" s="1">
        <v>0</v>
      </c>
      <c r="N94" s="1">
        <f t="shared" si="15"/>
        <v>0</v>
      </c>
      <c r="Q94" s="1">
        <v>44500</v>
      </c>
      <c r="R94" s="1">
        <v>0</v>
      </c>
      <c r="S94" s="1">
        <v>0</v>
      </c>
      <c r="T94" s="1">
        <f t="shared" si="16"/>
        <v>0</v>
      </c>
      <c r="W94" s="1">
        <v>44500</v>
      </c>
      <c r="X94" s="1">
        <v>0</v>
      </c>
      <c r="Y94" s="1">
        <v>0</v>
      </c>
      <c r="Z94" s="1">
        <f t="shared" si="17"/>
        <v>0</v>
      </c>
      <c r="AC94" s="1">
        <v>44500</v>
      </c>
      <c r="AD94" s="1">
        <v>0</v>
      </c>
      <c r="AE94" s="1">
        <v>0</v>
      </c>
      <c r="AF94" s="1">
        <f t="shared" si="18"/>
        <v>0</v>
      </c>
      <c r="AH94" s="1">
        <f t="shared" si="19"/>
        <v>4.45</v>
      </c>
      <c r="AI94" s="1">
        <f t="shared" si="20"/>
        <v>0</v>
      </c>
      <c r="AJ94" s="1">
        <f t="shared" si="21"/>
        <v>0</v>
      </c>
      <c r="AK94" s="1">
        <f t="shared" si="22"/>
        <v>0</v>
      </c>
      <c r="AL94" s="1">
        <f t="shared" si="23"/>
        <v>0</v>
      </c>
      <c r="AM94" s="1">
        <f t="shared" si="24"/>
        <v>0</v>
      </c>
      <c r="AN94" s="1">
        <f t="shared" si="25"/>
        <v>0</v>
      </c>
    </row>
    <row r="95" spans="1:40" x14ac:dyDescent="0.35">
      <c r="A95" s="1">
        <v>45000</v>
      </c>
      <c r="B95" s="1">
        <v>0</v>
      </c>
      <c r="C95" s="1">
        <v>0</v>
      </c>
      <c r="D95" s="1">
        <f t="shared" si="13"/>
        <v>0</v>
      </c>
      <c r="F95" s="1">
        <v>45000</v>
      </c>
      <c r="G95" s="1">
        <v>0</v>
      </c>
      <c r="H95" s="1">
        <v>0</v>
      </c>
      <c r="I95" s="1">
        <f t="shared" si="14"/>
        <v>0</v>
      </c>
      <c r="K95" s="1">
        <v>45000</v>
      </c>
      <c r="L95" s="1">
        <v>0</v>
      </c>
      <c r="M95" s="1">
        <v>0</v>
      </c>
      <c r="N95" s="1">
        <f t="shared" si="15"/>
        <v>0</v>
      </c>
      <c r="Q95" s="1">
        <v>45000</v>
      </c>
      <c r="R95" s="1">
        <v>0</v>
      </c>
      <c r="S95" s="1">
        <v>0</v>
      </c>
      <c r="T95" s="1">
        <f t="shared" si="16"/>
        <v>0</v>
      </c>
      <c r="W95" s="1">
        <v>45000</v>
      </c>
      <c r="X95" s="1">
        <v>0</v>
      </c>
      <c r="Y95" s="1">
        <v>0</v>
      </c>
      <c r="Z95" s="1">
        <f t="shared" si="17"/>
        <v>0</v>
      </c>
      <c r="AC95" s="1">
        <v>45000</v>
      </c>
      <c r="AD95" s="1">
        <v>0</v>
      </c>
      <c r="AE95" s="1">
        <v>0</v>
      </c>
      <c r="AF95" s="1">
        <f t="shared" si="18"/>
        <v>0</v>
      </c>
      <c r="AH95" s="1">
        <f t="shared" si="19"/>
        <v>4.5</v>
      </c>
      <c r="AI95" s="1">
        <f t="shared" si="20"/>
        <v>0</v>
      </c>
      <c r="AJ95" s="1">
        <f t="shared" si="21"/>
        <v>0</v>
      </c>
      <c r="AK95" s="1">
        <f t="shared" si="22"/>
        <v>0</v>
      </c>
      <c r="AL95" s="1">
        <f t="shared" si="23"/>
        <v>0</v>
      </c>
      <c r="AM95" s="1">
        <f t="shared" si="24"/>
        <v>0</v>
      </c>
      <c r="AN95" s="1">
        <f t="shared" si="25"/>
        <v>0</v>
      </c>
    </row>
    <row r="96" spans="1:40" x14ac:dyDescent="0.35">
      <c r="A96" s="1">
        <v>45500</v>
      </c>
      <c r="B96" s="1">
        <v>0</v>
      </c>
      <c r="C96" s="1">
        <v>0</v>
      </c>
      <c r="D96" s="1">
        <f t="shared" si="13"/>
        <v>0</v>
      </c>
      <c r="F96" s="1">
        <v>45500</v>
      </c>
      <c r="G96" s="1">
        <v>0</v>
      </c>
      <c r="H96" s="1">
        <v>0</v>
      </c>
      <c r="I96" s="1">
        <f t="shared" si="14"/>
        <v>0</v>
      </c>
      <c r="K96" s="1">
        <v>45500</v>
      </c>
      <c r="L96" s="1">
        <v>0</v>
      </c>
      <c r="M96" s="1">
        <v>0</v>
      </c>
      <c r="N96" s="1">
        <f t="shared" si="15"/>
        <v>0</v>
      </c>
      <c r="Q96" s="1">
        <v>45500</v>
      </c>
      <c r="R96" s="1">
        <v>0</v>
      </c>
      <c r="S96" s="1">
        <v>0</v>
      </c>
      <c r="T96" s="1">
        <f t="shared" si="16"/>
        <v>0</v>
      </c>
      <c r="W96" s="1">
        <v>45500</v>
      </c>
      <c r="X96" s="1">
        <v>0</v>
      </c>
      <c r="Y96" s="1">
        <v>0</v>
      </c>
      <c r="Z96" s="1">
        <f t="shared" si="17"/>
        <v>0</v>
      </c>
      <c r="AC96" s="1">
        <v>45500</v>
      </c>
      <c r="AD96" s="1">
        <v>0</v>
      </c>
      <c r="AE96" s="1">
        <v>0</v>
      </c>
      <c r="AF96" s="1">
        <f t="shared" si="18"/>
        <v>0</v>
      </c>
      <c r="AH96" s="1">
        <f t="shared" si="19"/>
        <v>4.55</v>
      </c>
      <c r="AI96" s="1">
        <f t="shared" si="20"/>
        <v>0</v>
      </c>
      <c r="AJ96" s="1">
        <f t="shared" si="21"/>
        <v>0</v>
      </c>
      <c r="AK96" s="1">
        <f t="shared" si="22"/>
        <v>0</v>
      </c>
      <c r="AL96" s="1">
        <f t="shared" si="23"/>
        <v>0</v>
      </c>
      <c r="AM96" s="1">
        <f t="shared" si="24"/>
        <v>0</v>
      </c>
      <c r="AN96" s="1">
        <f t="shared" si="25"/>
        <v>0</v>
      </c>
    </row>
    <row r="97" spans="1:40" x14ac:dyDescent="0.35">
      <c r="A97" s="1">
        <v>46000</v>
      </c>
      <c r="B97" s="1">
        <v>0</v>
      </c>
      <c r="C97" s="1">
        <v>0</v>
      </c>
      <c r="D97" s="1">
        <f t="shared" si="13"/>
        <v>0</v>
      </c>
      <c r="F97" s="1">
        <v>46000</v>
      </c>
      <c r="G97" s="1">
        <v>0</v>
      </c>
      <c r="H97" s="1">
        <v>0</v>
      </c>
      <c r="I97" s="1">
        <f t="shared" si="14"/>
        <v>0</v>
      </c>
      <c r="K97" s="1">
        <v>46000</v>
      </c>
      <c r="L97" s="1">
        <v>0</v>
      </c>
      <c r="M97" s="1">
        <v>0</v>
      </c>
      <c r="N97" s="1">
        <f t="shared" si="15"/>
        <v>0</v>
      </c>
      <c r="Q97" s="1">
        <v>46000</v>
      </c>
      <c r="R97" s="1">
        <v>0</v>
      </c>
      <c r="S97" s="1">
        <v>0</v>
      </c>
      <c r="T97" s="1">
        <f t="shared" si="16"/>
        <v>0</v>
      </c>
      <c r="W97" s="1">
        <v>46000</v>
      </c>
      <c r="X97" s="1">
        <v>0</v>
      </c>
      <c r="Y97" s="1">
        <v>0</v>
      </c>
      <c r="Z97" s="1">
        <f t="shared" si="17"/>
        <v>0</v>
      </c>
      <c r="AC97" s="1">
        <v>46000</v>
      </c>
      <c r="AD97" s="1">
        <v>0</v>
      </c>
      <c r="AE97" s="1">
        <v>0</v>
      </c>
      <c r="AF97" s="1">
        <f t="shared" si="18"/>
        <v>0</v>
      </c>
      <c r="AH97" s="1">
        <f t="shared" si="19"/>
        <v>4.5999999999999996</v>
      </c>
      <c r="AI97" s="1">
        <f t="shared" si="20"/>
        <v>0</v>
      </c>
      <c r="AJ97" s="1">
        <f t="shared" si="21"/>
        <v>0</v>
      </c>
      <c r="AK97" s="1">
        <f t="shared" si="22"/>
        <v>0</v>
      </c>
      <c r="AL97" s="1">
        <f t="shared" si="23"/>
        <v>0</v>
      </c>
      <c r="AM97" s="1">
        <f t="shared" si="24"/>
        <v>0</v>
      </c>
      <c r="AN97" s="1">
        <f t="shared" si="25"/>
        <v>0</v>
      </c>
    </row>
    <row r="98" spans="1:40" x14ac:dyDescent="0.35">
      <c r="A98" s="1">
        <v>46500</v>
      </c>
      <c r="B98" s="1">
        <v>0</v>
      </c>
      <c r="C98" s="1">
        <v>0</v>
      </c>
      <c r="D98" s="1">
        <f t="shared" si="13"/>
        <v>0</v>
      </c>
      <c r="F98" s="1">
        <v>46500</v>
      </c>
      <c r="G98" s="1">
        <v>0</v>
      </c>
      <c r="H98" s="1">
        <v>0</v>
      </c>
      <c r="I98" s="1">
        <f t="shared" si="14"/>
        <v>0</v>
      </c>
      <c r="K98" s="1">
        <v>46500</v>
      </c>
      <c r="L98" s="1">
        <v>0</v>
      </c>
      <c r="M98" s="1">
        <v>0</v>
      </c>
      <c r="N98" s="1">
        <f t="shared" si="15"/>
        <v>0</v>
      </c>
      <c r="Q98" s="1">
        <v>46500</v>
      </c>
      <c r="R98" s="1">
        <v>0</v>
      </c>
      <c r="S98" s="1">
        <v>0</v>
      </c>
      <c r="T98" s="1">
        <f t="shared" si="16"/>
        <v>0</v>
      </c>
      <c r="W98" s="1">
        <v>46500</v>
      </c>
      <c r="X98" s="1">
        <v>0</v>
      </c>
      <c r="Y98" s="1">
        <v>0</v>
      </c>
      <c r="Z98" s="1">
        <f t="shared" si="17"/>
        <v>0</v>
      </c>
      <c r="AC98" s="1">
        <v>46500</v>
      </c>
      <c r="AD98" s="1">
        <v>0</v>
      </c>
      <c r="AE98" s="1">
        <v>0</v>
      </c>
      <c r="AF98" s="1">
        <f t="shared" si="18"/>
        <v>0</v>
      </c>
      <c r="AH98" s="1">
        <f t="shared" si="19"/>
        <v>4.6500000000000004</v>
      </c>
      <c r="AI98" s="1">
        <f t="shared" si="20"/>
        <v>0</v>
      </c>
      <c r="AJ98" s="1">
        <f t="shared" si="21"/>
        <v>0</v>
      </c>
      <c r="AK98" s="1">
        <f t="shared" si="22"/>
        <v>0</v>
      </c>
      <c r="AL98" s="1">
        <f t="shared" si="23"/>
        <v>0</v>
      </c>
      <c r="AM98" s="1">
        <f t="shared" si="24"/>
        <v>0</v>
      </c>
      <c r="AN98" s="1">
        <f t="shared" si="25"/>
        <v>0</v>
      </c>
    </row>
    <row r="99" spans="1:40" x14ac:dyDescent="0.35">
      <c r="A99" s="1">
        <v>47000</v>
      </c>
      <c r="B99" s="1">
        <v>0</v>
      </c>
      <c r="C99" s="1">
        <v>0</v>
      </c>
      <c r="D99" s="1">
        <f t="shared" si="13"/>
        <v>0</v>
      </c>
      <c r="F99" s="1">
        <v>47000</v>
      </c>
      <c r="G99" s="1">
        <v>0</v>
      </c>
      <c r="H99" s="1">
        <v>0</v>
      </c>
      <c r="I99" s="1">
        <f t="shared" si="14"/>
        <v>0</v>
      </c>
      <c r="K99" s="1">
        <v>47000</v>
      </c>
      <c r="L99" s="1">
        <v>0</v>
      </c>
      <c r="M99" s="1">
        <v>0</v>
      </c>
      <c r="N99" s="1">
        <f t="shared" si="15"/>
        <v>0</v>
      </c>
      <c r="Q99" s="1">
        <v>47000</v>
      </c>
      <c r="R99" s="1">
        <v>0</v>
      </c>
      <c r="S99" s="1">
        <v>0</v>
      </c>
      <c r="T99" s="1">
        <f t="shared" si="16"/>
        <v>0</v>
      </c>
      <c r="W99" s="1">
        <v>47000</v>
      </c>
      <c r="X99" s="1">
        <v>0</v>
      </c>
      <c r="Y99" s="1">
        <v>0</v>
      </c>
      <c r="Z99" s="1">
        <f t="shared" si="17"/>
        <v>0</v>
      </c>
      <c r="AC99" s="1">
        <v>47000</v>
      </c>
      <c r="AD99" s="1">
        <v>0</v>
      </c>
      <c r="AE99" s="1">
        <v>0</v>
      </c>
      <c r="AF99" s="1">
        <f t="shared" si="18"/>
        <v>0</v>
      </c>
      <c r="AH99" s="1">
        <f t="shared" si="19"/>
        <v>4.7</v>
      </c>
      <c r="AI99" s="1">
        <f t="shared" si="20"/>
        <v>0</v>
      </c>
      <c r="AJ99" s="1">
        <f t="shared" si="21"/>
        <v>0</v>
      </c>
      <c r="AK99" s="1">
        <f t="shared" si="22"/>
        <v>0</v>
      </c>
      <c r="AL99" s="1">
        <f t="shared" si="23"/>
        <v>0</v>
      </c>
      <c r="AM99" s="1">
        <f t="shared" si="24"/>
        <v>0</v>
      </c>
      <c r="AN99" s="1">
        <f t="shared" si="25"/>
        <v>0</v>
      </c>
    </row>
    <row r="100" spans="1:40" x14ac:dyDescent="0.35">
      <c r="A100" s="1">
        <v>47500</v>
      </c>
      <c r="B100" s="1">
        <v>0</v>
      </c>
      <c r="C100" s="1">
        <v>0</v>
      </c>
      <c r="D100" s="1">
        <f t="shared" si="13"/>
        <v>0</v>
      </c>
      <c r="F100" s="1">
        <v>47500</v>
      </c>
      <c r="G100" s="1">
        <v>0</v>
      </c>
      <c r="H100" s="1">
        <v>0</v>
      </c>
      <c r="I100" s="1">
        <f t="shared" si="14"/>
        <v>0</v>
      </c>
      <c r="K100" s="1">
        <v>47500</v>
      </c>
      <c r="L100" s="1">
        <v>0</v>
      </c>
      <c r="M100" s="1">
        <v>0</v>
      </c>
      <c r="N100" s="1">
        <f t="shared" si="15"/>
        <v>0</v>
      </c>
      <c r="Q100" s="1">
        <v>47500</v>
      </c>
      <c r="R100" s="1">
        <v>0</v>
      </c>
      <c r="S100" s="1">
        <v>0</v>
      </c>
      <c r="T100" s="1">
        <f t="shared" si="16"/>
        <v>0</v>
      </c>
      <c r="W100" s="1">
        <v>47500</v>
      </c>
      <c r="X100" s="1">
        <v>0</v>
      </c>
      <c r="Y100" s="1">
        <v>0</v>
      </c>
      <c r="Z100" s="1">
        <f t="shared" si="17"/>
        <v>0</v>
      </c>
      <c r="AC100" s="1">
        <v>47500</v>
      </c>
      <c r="AD100" s="1">
        <v>0</v>
      </c>
      <c r="AE100" s="1">
        <v>0</v>
      </c>
      <c r="AF100" s="1">
        <f t="shared" si="18"/>
        <v>0</v>
      </c>
      <c r="AH100" s="1">
        <f t="shared" si="19"/>
        <v>4.75</v>
      </c>
      <c r="AI100" s="1">
        <f t="shared" si="20"/>
        <v>0</v>
      </c>
      <c r="AJ100" s="1">
        <f t="shared" si="21"/>
        <v>0</v>
      </c>
      <c r="AK100" s="1">
        <f t="shared" si="22"/>
        <v>0</v>
      </c>
      <c r="AL100" s="1">
        <f t="shared" si="23"/>
        <v>0</v>
      </c>
      <c r="AM100" s="1">
        <f t="shared" si="24"/>
        <v>0</v>
      </c>
      <c r="AN100" s="1">
        <f t="shared" si="25"/>
        <v>0</v>
      </c>
    </row>
    <row r="101" spans="1:40" x14ac:dyDescent="0.35">
      <c r="A101" s="1">
        <v>48000</v>
      </c>
      <c r="B101" s="1">
        <v>0</v>
      </c>
      <c r="C101" s="1">
        <v>0</v>
      </c>
      <c r="D101" s="1">
        <f t="shared" si="13"/>
        <v>0</v>
      </c>
      <c r="F101" s="1">
        <v>48000</v>
      </c>
      <c r="G101" s="1">
        <v>0</v>
      </c>
      <c r="H101" s="1">
        <v>0</v>
      </c>
      <c r="I101" s="1">
        <f t="shared" si="14"/>
        <v>0</v>
      </c>
      <c r="K101" s="1">
        <v>48000</v>
      </c>
      <c r="L101" s="1">
        <v>0</v>
      </c>
      <c r="M101" s="1">
        <v>0</v>
      </c>
      <c r="N101" s="1">
        <f t="shared" si="15"/>
        <v>0</v>
      </c>
      <c r="Q101" s="1">
        <v>48000</v>
      </c>
      <c r="R101" s="1">
        <v>0</v>
      </c>
      <c r="S101" s="1">
        <v>0</v>
      </c>
      <c r="T101" s="1">
        <f t="shared" si="16"/>
        <v>0</v>
      </c>
      <c r="W101" s="1">
        <v>48000</v>
      </c>
      <c r="X101" s="1">
        <v>0</v>
      </c>
      <c r="Y101" s="1">
        <v>0</v>
      </c>
      <c r="Z101" s="1">
        <f t="shared" si="17"/>
        <v>0</v>
      </c>
      <c r="AC101" s="1">
        <v>48000</v>
      </c>
      <c r="AD101" s="1">
        <v>0</v>
      </c>
      <c r="AE101" s="1">
        <v>0</v>
      </c>
      <c r="AF101" s="1">
        <f t="shared" si="18"/>
        <v>0</v>
      </c>
      <c r="AH101" s="1">
        <f t="shared" si="19"/>
        <v>4.8</v>
      </c>
      <c r="AI101" s="1">
        <f t="shared" si="20"/>
        <v>0</v>
      </c>
      <c r="AJ101" s="1">
        <f t="shared" si="21"/>
        <v>0</v>
      </c>
      <c r="AK101" s="1">
        <f t="shared" si="22"/>
        <v>0</v>
      </c>
      <c r="AL101" s="1">
        <f t="shared" si="23"/>
        <v>0</v>
      </c>
      <c r="AM101" s="1">
        <f t="shared" si="24"/>
        <v>0</v>
      </c>
      <c r="AN101" s="1">
        <f t="shared" si="25"/>
        <v>0</v>
      </c>
    </row>
    <row r="102" spans="1:40" x14ac:dyDescent="0.35">
      <c r="A102" s="1">
        <v>48500</v>
      </c>
      <c r="B102" s="1">
        <v>0</v>
      </c>
      <c r="C102" s="1">
        <v>0</v>
      </c>
      <c r="D102" s="1">
        <f t="shared" si="13"/>
        <v>0</v>
      </c>
      <c r="F102" s="1">
        <v>48500</v>
      </c>
      <c r="G102" s="1">
        <v>0</v>
      </c>
      <c r="H102" s="1">
        <v>0</v>
      </c>
      <c r="I102" s="1">
        <f t="shared" si="14"/>
        <v>0</v>
      </c>
      <c r="K102" s="1">
        <v>48500</v>
      </c>
      <c r="L102" s="1">
        <v>0</v>
      </c>
      <c r="M102" s="1">
        <v>0</v>
      </c>
      <c r="N102" s="1">
        <f t="shared" si="15"/>
        <v>0</v>
      </c>
      <c r="Q102" s="1">
        <v>48500</v>
      </c>
      <c r="R102" s="1">
        <v>0</v>
      </c>
      <c r="S102" s="1">
        <v>0</v>
      </c>
      <c r="T102" s="1">
        <f t="shared" si="16"/>
        <v>0</v>
      </c>
      <c r="W102" s="1">
        <v>48500</v>
      </c>
      <c r="X102" s="1">
        <v>0</v>
      </c>
      <c r="Y102" s="1">
        <v>0</v>
      </c>
      <c r="Z102" s="1">
        <f t="shared" si="17"/>
        <v>0</v>
      </c>
      <c r="AC102" s="1">
        <v>48500</v>
      </c>
      <c r="AD102" s="1">
        <v>0</v>
      </c>
      <c r="AE102" s="1">
        <v>0</v>
      </c>
      <c r="AF102" s="1">
        <f t="shared" si="18"/>
        <v>0</v>
      </c>
      <c r="AH102" s="1">
        <f t="shared" si="19"/>
        <v>4.8499999999999996</v>
      </c>
      <c r="AI102" s="1">
        <f t="shared" si="20"/>
        <v>0</v>
      </c>
      <c r="AJ102" s="1">
        <f t="shared" si="21"/>
        <v>0</v>
      </c>
      <c r="AK102" s="1">
        <f t="shared" si="22"/>
        <v>0</v>
      </c>
      <c r="AL102" s="1">
        <f t="shared" si="23"/>
        <v>0</v>
      </c>
      <c r="AM102" s="1">
        <f t="shared" si="24"/>
        <v>0</v>
      </c>
      <c r="AN102" s="1">
        <f t="shared" si="25"/>
        <v>0</v>
      </c>
    </row>
    <row r="103" spans="1:40" x14ac:dyDescent="0.35">
      <c r="A103" s="1">
        <v>49000</v>
      </c>
      <c r="B103" s="1">
        <v>0</v>
      </c>
      <c r="C103" s="1">
        <v>0</v>
      </c>
      <c r="D103" s="1">
        <f t="shared" si="13"/>
        <v>0</v>
      </c>
      <c r="F103" s="1">
        <v>49000</v>
      </c>
      <c r="G103" s="1">
        <v>0</v>
      </c>
      <c r="H103" s="1">
        <v>0</v>
      </c>
      <c r="I103" s="1">
        <f t="shared" si="14"/>
        <v>0</v>
      </c>
      <c r="K103" s="1">
        <v>49000</v>
      </c>
      <c r="L103" s="1">
        <v>0</v>
      </c>
      <c r="M103" s="1">
        <v>0</v>
      </c>
      <c r="N103" s="1">
        <f t="shared" si="15"/>
        <v>0</v>
      </c>
      <c r="Q103" s="1">
        <v>49000</v>
      </c>
      <c r="R103" s="1">
        <v>0</v>
      </c>
      <c r="S103" s="1">
        <v>0</v>
      </c>
      <c r="T103" s="1">
        <f t="shared" si="16"/>
        <v>0</v>
      </c>
      <c r="W103" s="1">
        <v>49000</v>
      </c>
      <c r="X103" s="1">
        <v>0</v>
      </c>
      <c r="Y103" s="1">
        <v>0</v>
      </c>
      <c r="Z103" s="1">
        <f t="shared" si="17"/>
        <v>0</v>
      </c>
      <c r="AC103" s="1">
        <v>49000</v>
      </c>
      <c r="AD103" s="1">
        <v>0</v>
      </c>
      <c r="AE103" s="1">
        <v>0</v>
      </c>
      <c r="AF103" s="1">
        <f t="shared" si="18"/>
        <v>0</v>
      </c>
      <c r="AH103" s="1">
        <f t="shared" si="19"/>
        <v>4.9000000000000004</v>
      </c>
      <c r="AI103" s="1">
        <f t="shared" si="20"/>
        <v>0</v>
      </c>
      <c r="AJ103" s="1">
        <f t="shared" si="21"/>
        <v>0</v>
      </c>
      <c r="AK103" s="1">
        <f t="shared" si="22"/>
        <v>0</v>
      </c>
      <c r="AL103" s="1">
        <f t="shared" si="23"/>
        <v>0</v>
      </c>
      <c r="AM103" s="1">
        <f t="shared" si="24"/>
        <v>0</v>
      </c>
      <c r="AN103" s="1">
        <f t="shared" si="25"/>
        <v>0</v>
      </c>
    </row>
    <row r="104" spans="1:40" x14ac:dyDescent="0.35">
      <c r="A104" s="1">
        <v>49500</v>
      </c>
      <c r="B104" s="1">
        <v>0</v>
      </c>
      <c r="C104" s="1">
        <v>0</v>
      </c>
      <c r="D104" s="1">
        <f t="shared" si="13"/>
        <v>0</v>
      </c>
      <c r="F104" s="1">
        <v>49500</v>
      </c>
      <c r="G104" s="1">
        <v>0</v>
      </c>
      <c r="H104" s="1">
        <v>0</v>
      </c>
      <c r="I104" s="1">
        <f t="shared" si="14"/>
        <v>0</v>
      </c>
      <c r="K104" s="1">
        <v>49500</v>
      </c>
      <c r="L104" s="1">
        <v>0</v>
      </c>
      <c r="M104" s="1">
        <v>0</v>
      </c>
      <c r="N104" s="1">
        <f t="shared" si="15"/>
        <v>0</v>
      </c>
      <c r="Q104" s="1">
        <v>49500</v>
      </c>
      <c r="R104" s="1">
        <v>0</v>
      </c>
      <c r="S104" s="1">
        <v>0</v>
      </c>
      <c r="T104" s="1">
        <f t="shared" si="16"/>
        <v>0</v>
      </c>
      <c r="W104" s="1">
        <v>49500</v>
      </c>
      <c r="X104" s="1">
        <v>0</v>
      </c>
      <c r="Y104" s="1">
        <v>0</v>
      </c>
      <c r="Z104" s="1">
        <f t="shared" si="17"/>
        <v>0</v>
      </c>
      <c r="AC104" s="1">
        <v>49500</v>
      </c>
      <c r="AD104" s="1">
        <v>0</v>
      </c>
      <c r="AE104" s="1">
        <v>0</v>
      </c>
      <c r="AF104" s="1">
        <f t="shared" si="18"/>
        <v>0</v>
      </c>
      <c r="AH104" s="1">
        <f t="shared" si="19"/>
        <v>4.95</v>
      </c>
      <c r="AI104" s="1">
        <f t="shared" si="20"/>
        <v>0</v>
      </c>
      <c r="AJ104" s="1">
        <f t="shared" si="21"/>
        <v>0</v>
      </c>
      <c r="AK104" s="1">
        <f t="shared" si="22"/>
        <v>0</v>
      </c>
      <c r="AL104" s="1">
        <f t="shared" si="23"/>
        <v>0</v>
      </c>
      <c r="AM104" s="1">
        <f t="shared" si="24"/>
        <v>0</v>
      </c>
      <c r="AN104" s="1">
        <f t="shared" si="25"/>
        <v>0</v>
      </c>
    </row>
    <row r="105" spans="1:40" x14ac:dyDescent="0.35">
      <c r="A105" s="1">
        <v>50000</v>
      </c>
      <c r="B105" s="1">
        <v>0</v>
      </c>
      <c r="C105" s="1">
        <v>0</v>
      </c>
      <c r="D105" s="1">
        <f t="shared" si="13"/>
        <v>0</v>
      </c>
      <c r="F105" s="1">
        <v>50000</v>
      </c>
      <c r="G105" s="1">
        <v>0</v>
      </c>
      <c r="H105" s="1">
        <v>0</v>
      </c>
      <c r="I105" s="1">
        <f t="shared" si="14"/>
        <v>0</v>
      </c>
      <c r="K105" s="1">
        <v>50000</v>
      </c>
      <c r="L105" s="1">
        <v>0</v>
      </c>
      <c r="M105" s="1">
        <v>0</v>
      </c>
      <c r="N105" s="1">
        <f t="shared" si="15"/>
        <v>0</v>
      </c>
      <c r="Q105" s="1">
        <v>50000</v>
      </c>
      <c r="R105" s="1">
        <v>0</v>
      </c>
      <c r="S105" s="1">
        <v>0</v>
      </c>
      <c r="T105" s="1">
        <f t="shared" si="16"/>
        <v>0</v>
      </c>
      <c r="W105" s="1">
        <v>50000</v>
      </c>
      <c r="X105" s="1">
        <v>0</v>
      </c>
      <c r="Y105" s="1">
        <v>0</v>
      </c>
      <c r="Z105" s="1">
        <f t="shared" si="17"/>
        <v>0</v>
      </c>
      <c r="AC105" s="1">
        <v>50000</v>
      </c>
      <c r="AD105" s="1">
        <v>0</v>
      </c>
      <c r="AE105" s="1">
        <v>0</v>
      </c>
      <c r="AF105" s="1">
        <f t="shared" si="18"/>
        <v>0</v>
      </c>
      <c r="AH105" s="1">
        <f t="shared" si="19"/>
        <v>5</v>
      </c>
      <c r="AI105" s="1">
        <f t="shared" si="20"/>
        <v>0</v>
      </c>
      <c r="AJ105" s="1">
        <f t="shared" si="21"/>
        <v>0</v>
      </c>
      <c r="AK105" s="1">
        <f t="shared" si="22"/>
        <v>0</v>
      </c>
      <c r="AL105" s="1">
        <f t="shared" si="23"/>
        <v>0</v>
      </c>
      <c r="AM105" s="1">
        <f t="shared" si="24"/>
        <v>0</v>
      </c>
      <c r="AN105" s="1">
        <f t="shared" si="25"/>
        <v>0</v>
      </c>
    </row>
    <row r="107" spans="1:40" x14ac:dyDescent="0.35">
      <c r="B107" t="s">
        <v>16</v>
      </c>
      <c r="C10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Range</vt:lpstr>
      <vt:lpstr>damage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 Cairang</dc:creator>
  <cp:lastModifiedBy>Wande Cairang</cp:lastModifiedBy>
  <dcterms:created xsi:type="dcterms:W3CDTF">2015-06-05T18:17:20Z</dcterms:created>
  <dcterms:modified xsi:type="dcterms:W3CDTF">2026-03-09T20:57:46Z</dcterms:modified>
</cp:coreProperties>
</file>