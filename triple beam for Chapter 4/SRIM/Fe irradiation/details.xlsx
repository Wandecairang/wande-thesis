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IT Dropbox\Wande Cairang\MIT research\Metal RAC\Westinghouse_RAC experiment\RAC for preradiation\SRIM\Fe irradiation\"/>
    </mc:Choice>
  </mc:AlternateContent>
  <xr:revisionPtr revIDLastSave="0" documentId="13_ncr:1_{7385E10E-3CA6-40D3-8EC5-37F342BA77F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4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G24" i="1"/>
  <c r="G28" i="1"/>
  <c r="G29" i="1"/>
  <c r="G30" i="1"/>
  <c r="G31" i="1"/>
  <c r="G32" i="1"/>
  <c r="G33" i="1"/>
  <c r="G66" i="1"/>
  <c r="G67" i="1"/>
  <c r="G68" i="1"/>
  <c r="G69" i="1"/>
  <c r="G76" i="1"/>
  <c r="G77" i="1"/>
  <c r="H1" i="1"/>
  <c r="G6" i="1" s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4" i="1"/>
  <c r="G64" i="1" l="1"/>
  <c r="G101" i="1"/>
  <c r="G97" i="1"/>
  <c r="G18" i="1"/>
  <c r="G61" i="1"/>
  <c r="G65" i="1"/>
  <c r="G100" i="1"/>
  <c r="G99" i="1"/>
  <c r="G60" i="1"/>
  <c r="G20" i="1"/>
  <c r="G26" i="1"/>
  <c r="G59" i="1"/>
  <c r="G96" i="1"/>
  <c r="G57" i="1"/>
  <c r="G17" i="1"/>
  <c r="G27" i="1"/>
  <c r="G63" i="1"/>
  <c r="G62" i="1"/>
  <c r="G22" i="1"/>
  <c r="G58" i="1"/>
  <c r="G19" i="1"/>
  <c r="G92" i="1"/>
  <c r="G15" i="1"/>
  <c r="G14" i="1"/>
  <c r="G13" i="1"/>
  <c r="G88" i="1"/>
  <c r="G5" i="1"/>
  <c r="G47" i="1"/>
  <c r="G46" i="1"/>
  <c r="G83" i="1"/>
  <c r="G81" i="1"/>
  <c r="G37" i="1"/>
  <c r="G25" i="1"/>
  <c r="G95" i="1"/>
  <c r="G93" i="1"/>
  <c r="G91" i="1"/>
  <c r="G90" i="1"/>
  <c r="G89" i="1"/>
  <c r="G86" i="1"/>
  <c r="G85" i="1"/>
  <c r="G80" i="1"/>
  <c r="G36" i="1"/>
  <c r="G23" i="1"/>
  <c r="G98" i="1"/>
  <c r="G21" i="1"/>
  <c r="G56" i="1"/>
  <c r="G55" i="1"/>
  <c r="G54" i="1"/>
  <c r="G50" i="1"/>
  <c r="G49" i="1"/>
  <c r="G48" i="1"/>
  <c r="G84" i="1"/>
  <c r="G82" i="1"/>
  <c r="G79" i="1"/>
  <c r="G35" i="1"/>
  <c r="G94" i="1"/>
  <c r="G16" i="1"/>
  <c r="G53" i="1"/>
  <c r="G52" i="1"/>
  <c r="G51" i="1"/>
  <c r="G12" i="1"/>
  <c r="G87" i="1"/>
  <c r="G45" i="1"/>
  <c r="G44" i="1"/>
  <c r="G78" i="1"/>
  <c r="G34" i="1"/>
  <c r="G10" i="1"/>
  <c r="G41" i="1"/>
  <c r="G4" i="1"/>
  <c r="G72" i="1"/>
  <c r="G40" i="1"/>
  <c r="G8" i="1"/>
  <c r="G43" i="1"/>
  <c r="G71" i="1"/>
  <c r="G39" i="1"/>
  <c r="G7" i="1"/>
  <c r="G75" i="1"/>
  <c r="G11" i="1"/>
  <c r="G74" i="1"/>
  <c r="G42" i="1"/>
  <c r="G73" i="1"/>
  <c r="G9" i="1"/>
  <c r="G103" i="1"/>
  <c r="G102" i="1"/>
  <c r="G70" i="1"/>
  <c r="G38" i="1"/>
</calcChain>
</file>

<file path=xl/sharedStrings.xml><?xml version="1.0" encoding="utf-8"?>
<sst xmlns="http://schemas.openxmlformats.org/spreadsheetml/2006/main" count="32" uniqueCount="16">
  <si>
    <t>TARGET</t>
  </si>
  <si>
    <t>VACANCIES</t>
  </si>
  <si>
    <t>DEPTH</t>
  </si>
  <si>
    <t>by</t>
  </si>
  <si>
    <t>(Ang.)</t>
  </si>
  <si>
    <t>IONS</t>
  </si>
  <si>
    <t>RECOILS</t>
  </si>
  <si>
    <t>-----------</t>
  </si>
  <si>
    <t>------------</t>
  </si>
  <si>
    <t>Fe</t>
  </si>
  <si>
    <t>Recoil</t>
  </si>
  <si>
    <t>Ions</t>
  </si>
  <si>
    <t>Distribution</t>
  </si>
  <si>
    <t>----------</t>
  </si>
  <si>
    <t>depth</t>
  </si>
  <si>
    <t xml:space="preserve">fluence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</si>
</sst>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3"/>
  <sheetViews>
    <sheetView tabSelected="1" workbookViewId="0">
      <selection activeCell="H1" sqref="H1:H1048576"/>
    </sheetView>
  </sheetViews>
  <sheetFormatPr defaultRowHeight="14.5" x14ac:dyDescent="0.35"/>
  <sheetData>
    <row r="1" spans="1:17" x14ac:dyDescent="0.35">
      <c r="A1" t="s">
        <v>2</v>
      </c>
      <c r="B1" t="s">
        <v>9</v>
      </c>
      <c r="C1" t="s">
        <v>10</v>
      </c>
      <c r="G1" t="s">
        <v>15</v>
      </c>
      <c r="H1">
        <f>6.6*10^15</f>
        <v>6600000000000000</v>
      </c>
      <c r="N1" t="s">
        <v>0</v>
      </c>
      <c r="O1" t="s">
        <v>1</v>
      </c>
      <c r="P1" t="s">
        <v>1</v>
      </c>
    </row>
    <row r="2" spans="1:17" x14ac:dyDescent="0.35">
      <c r="A2" t="s">
        <v>4</v>
      </c>
      <c r="B2" t="s">
        <v>11</v>
      </c>
      <c r="C2" t="s">
        <v>12</v>
      </c>
      <c r="N2" t="s">
        <v>2</v>
      </c>
      <c r="O2" t="s">
        <v>3</v>
      </c>
      <c r="P2" t="s">
        <v>3</v>
      </c>
    </row>
    <row r="3" spans="1:17" x14ac:dyDescent="0.35">
      <c r="A3" t="s">
        <v>7</v>
      </c>
      <c r="B3" t="s">
        <v>13</v>
      </c>
      <c r="C3" t="s">
        <v>8</v>
      </c>
      <c r="F3" t="s">
        <v>14</v>
      </c>
      <c r="N3" t="s">
        <v>4</v>
      </c>
      <c r="O3" t="s">
        <v>5</v>
      </c>
      <c r="P3" t="s">
        <v>6</v>
      </c>
    </row>
    <row r="4" spans="1:17" x14ac:dyDescent="0.35">
      <c r="A4" s="1">
        <v>500.01</v>
      </c>
      <c r="B4" s="1">
        <v>0</v>
      </c>
      <c r="C4" s="1">
        <v>0</v>
      </c>
      <c r="F4" s="1">
        <f>A4/10000</f>
        <v>5.0000999999999997E-2</v>
      </c>
      <c r="G4" s="1">
        <f>B4*$H$1/8.38/10^22*100</f>
        <v>0</v>
      </c>
      <c r="H4" s="1">
        <f>Q4*10^8*$H$1/8.38/10^22</f>
        <v>1.05853446300716</v>
      </c>
      <c r="N4" s="1">
        <v>500.01</v>
      </c>
      <c r="O4" s="1">
        <v>1.14538E-2</v>
      </c>
      <c r="P4" s="1">
        <v>0.122948</v>
      </c>
      <c r="Q4" s="1">
        <f>O4+P4</f>
        <v>0.13440180000000002</v>
      </c>
    </row>
    <row r="5" spans="1:17" x14ac:dyDescent="0.35">
      <c r="A5" s="1">
        <v>1000.01</v>
      </c>
      <c r="B5" s="1">
        <v>0</v>
      </c>
      <c r="C5" s="1">
        <v>0</v>
      </c>
      <c r="F5" s="1">
        <f t="shared" ref="F5:F68" si="0">A5/10000</f>
        <v>0.10000099999999999</v>
      </c>
      <c r="G5" s="1">
        <f>B5*$H$1/8.38/10^22*100</f>
        <v>0</v>
      </c>
      <c r="H5" s="1">
        <f t="shared" ref="H5:H68" si="1">Q5*10^8*$H$1/8.38/10^22</f>
        <v>1.2063626491646775</v>
      </c>
      <c r="N5" s="1">
        <v>1000.01</v>
      </c>
      <c r="O5" s="1">
        <v>1.2219499999999999E-2</v>
      </c>
      <c r="P5" s="1">
        <v>0.14095199999999999</v>
      </c>
      <c r="Q5" s="1">
        <f t="shared" ref="Q5:Q68" si="2">O5+P5</f>
        <v>0.15317149999999999</v>
      </c>
    </row>
    <row r="6" spans="1:17" x14ac:dyDescent="0.35">
      <c r="A6" s="1">
        <v>1500.01</v>
      </c>
      <c r="B6" s="1">
        <v>0</v>
      </c>
      <c r="C6" s="1">
        <v>0</v>
      </c>
      <c r="F6" s="1">
        <f t="shared" si="0"/>
        <v>0.150001</v>
      </c>
      <c r="G6" s="1">
        <f>B6*$H$1/8.38/10^22*100</f>
        <v>0</v>
      </c>
      <c r="H6" s="1">
        <f t="shared" si="1"/>
        <v>1.1578203579952264</v>
      </c>
      <c r="N6" s="1">
        <v>1500.01</v>
      </c>
      <c r="O6" s="1">
        <v>1.25551E-2</v>
      </c>
      <c r="P6" s="1">
        <v>0.13445299999999999</v>
      </c>
      <c r="Q6" s="1">
        <f t="shared" si="2"/>
        <v>0.14700809999999997</v>
      </c>
    </row>
    <row r="7" spans="1:17" x14ac:dyDescent="0.35">
      <c r="A7" s="1">
        <v>2000.01</v>
      </c>
      <c r="B7" s="1">
        <v>0</v>
      </c>
      <c r="C7" s="1">
        <v>0</v>
      </c>
      <c r="F7" s="1">
        <f t="shared" si="0"/>
        <v>0.20000100000000001</v>
      </c>
      <c r="G7" s="1">
        <f>B7*$H$1/8.38/10^22*100</f>
        <v>0</v>
      </c>
      <c r="H7" s="1">
        <f t="shared" si="1"/>
        <v>1.2291271360381861</v>
      </c>
      <c r="N7" s="1">
        <v>2000.01</v>
      </c>
      <c r="O7" s="1">
        <v>1.28719E-2</v>
      </c>
      <c r="P7" s="1">
        <v>0.14319000000000001</v>
      </c>
      <c r="Q7" s="1">
        <f t="shared" si="2"/>
        <v>0.1560619</v>
      </c>
    </row>
    <row r="8" spans="1:17" x14ac:dyDescent="0.35">
      <c r="A8" s="1">
        <v>2500.0100000000002</v>
      </c>
      <c r="B8" s="1">
        <v>0</v>
      </c>
      <c r="C8" s="1">
        <v>0</v>
      </c>
      <c r="F8" s="1">
        <f t="shared" si="0"/>
        <v>0.25000100000000003</v>
      </c>
      <c r="G8" s="1">
        <f>B8*$H$1/8.38/10^22*100</f>
        <v>0</v>
      </c>
      <c r="H8" s="1">
        <f t="shared" si="1"/>
        <v>1.3972806443914083</v>
      </c>
      <c r="N8" s="1">
        <v>2500.0100000000002</v>
      </c>
      <c r="O8" s="1">
        <v>1.3383300000000001E-2</v>
      </c>
      <c r="P8" s="1">
        <v>0.16402900000000001</v>
      </c>
      <c r="Q8" s="1">
        <f t="shared" si="2"/>
        <v>0.17741230000000002</v>
      </c>
    </row>
    <row r="9" spans="1:17" x14ac:dyDescent="0.35">
      <c r="A9" s="1">
        <v>3000.01</v>
      </c>
      <c r="B9" s="1">
        <v>100</v>
      </c>
      <c r="C9" s="1">
        <v>0</v>
      </c>
      <c r="F9" s="1">
        <f t="shared" si="0"/>
        <v>0.30000100000000002</v>
      </c>
      <c r="G9" s="1">
        <f>B9*$H$1/8.38/10^22*100</f>
        <v>7.8758949880668248E-4</v>
      </c>
      <c r="H9" s="1">
        <f t="shared" si="1"/>
        <v>1.3892763723150356</v>
      </c>
      <c r="N9" s="1">
        <v>3000.01</v>
      </c>
      <c r="O9" s="1">
        <v>1.4005E-2</v>
      </c>
      <c r="P9" s="1">
        <v>0.16239100000000001</v>
      </c>
      <c r="Q9" s="1">
        <f t="shared" si="2"/>
        <v>0.176396</v>
      </c>
    </row>
    <row r="10" spans="1:17" x14ac:dyDescent="0.35">
      <c r="A10" s="1">
        <v>3500.01</v>
      </c>
      <c r="B10" s="1">
        <v>0</v>
      </c>
      <c r="C10" s="1">
        <v>0</v>
      </c>
      <c r="F10" s="1">
        <f t="shared" si="0"/>
        <v>0.35000100000000001</v>
      </c>
      <c r="G10" s="1">
        <f>B10*$H$1/8.38/10^22*100</f>
        <v>0</v>
      </c>
      <c r="H10" s="1">
        <f t="shared" si="1"/>
        <v>1.4198694988066825</v>
      </c>
      <c r="N10" s="1">
        <v>3500.01</v>
      </c>
      <c r="O10" s="1">
        <v>1.4090399999999999E-2</v>
      </c>
      <c r="P10" s="1">
        <v>0.16619</v>
      </c>
      <c r="Q10" s="1">
        <f t="shared" si="2"/>
        <v>0.18028040000000001</v>
      </c>
    </row>
    <row r="11" spans="1:17" x14ac:dyDescent="0.35">
      <c r="A11" s="1">
        <v>4000.01</v>
      </c>
      <c r="B11" s="1">
        <v>100</v>
      </c>
      <c r="C11" s="1">
        <v>0</v>
      </c>
      <c r="F11" s="1">
        <f t="shared" si="0"/>
        <v>0.400001</v>
      </c>
      <c r="G11" s="1">
        <f>B11*$H$1/8.38/10^22*100</f>
        <v>7.8758949880668248E-4</v>
      </c>
      <c r="H11" s="1">
        <f t="shared" si="1"/>
        <v>1.5339809785202865</v>
      </c>
      <c r="N11" s="1">
        <v>4000.01</v>
      </c>
      <c r="O11" s="1">
        <v>1.4839099999999999E-2</v>
      </c>
      <c r="P11" s="1">
        <v>0.17993000000000001</v>
      </c>
      <c r="Q11" s="1">
        <f t="shared" si="2"/>
        <v>0.1947691</v>
      </c>
    </row>
    <row r="12" spans="1:17" x14ac:dyDescent="0.35">
      <c r="A12" s="1">
        <v>4500.01</v>
      </c>
      <c r="B12" s="1">
        <v>100</v>
      </c>
      <c r="C12" s="1">
        <v>0</v>
      </c>
      <c r="F12" s="1">
        <f t="shared" si="0"/>
        <v>0.45000100000000004</v>
      </c>
      <c r="G12" s="1">
        <f>B12*$H$1/8.38/10^22*100</f>
        <v>7.8758949880668248E-4</v>
      </c>
      <c r="H12" s="1">
        <f t="shared" si="1"/>
        <v>1.4663262529832934</v>
      </c>
      <c r="N12" s="1">
        <v>4500.01</v>
      </c>
      <c r="O12" s="1">
        <v>1.5292E-2</v>
      </c>
      <c r="P12" s="1">
        <v>0.17088700000000001</v>
      </c>
      <c r="Q12" s="1">
        <f t="shared" si="2"/>
        <v>0.18617900000000001</v>
      </c>
    </row>
    <row r="13" spans="1:17" x14ac:dyDescent="0.35">
      <c r="A13" s="1">
        <v>5000.01</v>
      </c>
      <c r="B13" s="1">
        <v>0</v>
      </c>
      <c r="C13" s="1">
        <v>0</v>
      </c>
      <c r="F13" s="1">
        <f t="shared" si="0"/>
        <v>0.50000100000000003</v>
      </c>
      <c r="G13" s="1">
        <f>B13*$H$1/8.38/10^22*100</f>
        <v>0</v>
      </c>
      <c r="H13" s="1">
        <f t="shared" si="1"/>
        <v>1.7622118138424818</v>
      </c>
      <c r="N13" s="1">
        <v>5000.01</v>
      </c>
      <c r="O13" s="1">
        <v>1.5786499999999998E-2</v>
      </c>
      <c r="P13" s="1">
        <v>0.20796100000000001</v>
      </c>
      <c r="Q13" s="1">
        <f t="shared" si="2"/>
        <v>0.22374750000000002</v>
      </c>
    </row>
    <row r="14" spans="1:17" x14ac:dyDescent="0.35">
      <c r="A14" s="1">
        <v>5500.01</v>
      </c>
      <c r="B14" s="1">
        <v>100</v>
      </c>
      <c r="C14" s="1">
        <v>0</v>
      </c>
      <c r="F14" s="1">
        <f t="shared" si="0"/>
        <v>0.55000100000000007</v>
      </c>
      <c r="G14" s="1">
        <f>B14*$H$1/8.38/10^22*100</f>
        <v>7.8758949880668248E-4</v>
      </c>
      <c r="H14" s="1">
        <f t="shared" si="1"/>
        <v>1.5876733174224342</v>
      </c>
      <c r="N14" s="1">
        <v>5500.01</v>
      </c>
      <c r="O14" s="1">
        <v>1.5793399999999999E-2</v>
      </c>
      <c r="P14" s="1">
        <v>0.18579300000000001</v>
      </c>
      <c r="Q14" s="1">
        <f t="shared" si="2"/>
        <v>0.2015864</v>
      </c>
    </row>
    <row r="15" spans="1:17" x14ac:dyDescent="0.35">
      <c r="A15" s="1">
        <v>6000.01</v>
      </c>
      <c r="B15" s="1">
        <v>0</v>
      </c>
      <c r="C15" s="1">
        <v>0</v>
      </c>
      <c r="F15" s="1">
        <f t="shared" si="0"/>
        <v>0.60000100000000001</v>
      </c>
      <c r="G15" s="1">
        <f>B15*$H$1/8.38/10^22*100</f>
        <v>0</v>
      </c>
      <c r="H15" s="1">
        <f t="shared" si="1"/>
        <v>1.7833995465393795</v>
      </c>
      <c r="N15" s="1">
        <v>6000.01</v>
      </c>
      <c r="O15" s="1">
        <v>1.6613699999999999E-2</v>
      </c>
      <c r="P15" s="1">
        <v>0.20982400000000001</v>
      </c>
      <c r="Q15" s="1">
        <f t="shared" si="2"/>
        <v>0.22643770000000002</v>
      </c>
    </row>
    <row r="16" spans="1:17" x14ac:dyDescent="0.35">
      <c r="A16" s="1">
        <v>6500.01</v>
      </c>
      <c r="B16" s="1">
        <v>0</v>
      </c>
      <c r="C16" s="1">
        <v>0</v>
      </c>
      <c r="F16" s="1">
        <f t="shared" si="0"/>
        <v>0.65000100000000005</v>
      </c>
      <c r="G16" s="1">
        <f>B16*$H$1/8.38/10^22*100</f>
        <v>0</v>
      </c>
      <c r="H16" s="1">
        <f t="shared" si="1"/>
        <v>1.8277219331742243</v>
      </c>
      <c r="N16" s="1">
        <v>6500.01</v>
      </c>
      <c r="O16" s="1">
        <v>1.7245300000000002E-2</v>
      </c>
      <c r="P16" s="1">
        <v>0.21482000000000001</v>
      </c>
      <c r="Q16" s="1">
        <f t="shared" si="2"/>
        <v>0.2320653</v>
      </c>
    </row>
    <row r="17" spans="1:17" x14ac:dyDescent="0.35">
      <c r="A17" s="1">
        <v>7000.01</v>
      </c>
      <c r="B17" s="1">
        <v>300</v>
      </c>
      <c r="C17" s="1">
        <v>0</v>
      </c>
      <c r="F17" s="1">
        <f t="shared" si="0"/>
        <v>0.70000099999999998</v>
      </c>
      <c r="G17" s="1">
        <f>B17*$H$1/8.38/10^22*100</f>
        <v>2.3627684964200473E-3</v>
      </c>
      <c r="H17" s="1">
        <f t="shared" si="1"/>
        <v>2.0266638902147966</v>
      </c>
      <c r="N17" s="1">
        <v>7000.01</v>
      </c>
      <c r="O17" s="1">
        <v>1.82959E-2</v>
      </c>
      <c r="P17" s="1">
        <v>0.23902899999999999</v>
      </c>
      <c r="Q17" s="1">
        <f t="shared" si="2"/>
        <v>0.25732489999999997</v>
      </c>
    </row>
    <row r="18" spans="1:17" x14ac:dyDescent="0.35">
      <c r="A18" s="1">
        <v>7500.01</v>
      </c>
      <c r="B18" s="1">
        <v>100</v>
      </c>
      <c r="C18" s="1">
        <v>0</v>
      </c>
      <c r="F18" s="1">
        <f t="shared" si="0"/>
        <v>0.75000100000000003</v>
      </c>
      <c r="G18" s="1">
        <f>B18*$H$1/8.38/10^22*100</f>
        <v>7.8758949880668248E-4</v>
      </c>
      <c r="H18" s="1">
        <f t="shared" si="1"/>
        <v>2.0136607875894987</v>
      </c>
      <c r="N18" s="1">
        <v>7500.01</v>
      </c>
      <c r="O18" s="1">
        <v>1.8723900000000002E-2</v>
      </c>
      <c r="P18" s="1">
        <v>0.23694999999999999</v>
      </c>
      <c r="Q18" s="1">
        <f t="shared" si="2"/>
        <v>0.25567390000000001</v>
      </c>
    </row>
    <row r="19" spans="1:17" x14ac:dyDescent="0.35">
      <c r="A19" s="1">
        <v>8000.01</v>
      </c>
      <c r="B19" s="1">
        <v>300</v>
      </c>
      <c r="C19" s="1">
        <v>0</v>
      </c>
      <c r="F19" s="1">
        <f t="shared" si="0"/>
        <v>0.80000100000000007</v>
      </c>
      <c r="G19" s="1">
        <f>B19*$H$1/8.38/10^22*100</f>
        <v>2.3627684964200473E-3</v>
      </c>
      <c r="H19" s="1">
        <f t="shared" si="1"/>
        <v>2.1662239618138419</v>
      </c>
      <c r="N19" s="1">
        <v>8000.01</v>
      </c>
      <c r="O19" s="1">
        <v>1.9597799999999999E-2</v>
      </c>
      <c r="P19" s="1">
        <v>0.25544699999999998</v>
      </c>
      <c r="Q19" s="1">
        <f t="shared" si="2"/>
        <v>0.27504479999999998</v>
      </c>
    </row>
    <row r="20" spans="1:17" x14ac:dyDescent="0.35">
      <c r="A20" s="1">
        <v>8500.01</v>
      </c>
      <c r="B20" s="1">
        <v>100</v>
      </c>
      <c r="C20" s="1">
        <v>0</v>
      </c>
      <c r="F20" s="1">
        <f t="shared" si="0"/>
        <v>0.85000100000000001</v>
      </c>
      <c r="G20" s="1">
        <f>B20*$H$1/8.38/10^22*100</f>
        <v>7.8758949880668248E-4</v>
      </c>
      <c r="H20" s="1">
        <f t="shared" si="1"/>
        <v>2.5694886873508351</v>
      </c>
      <c r="N20" s="1">
        <v>8500.01</v>
      </c>
      <c r="O20" s="1">
        <v>2.0258200000000001E-2</v>
      </c>
      <c r="P20" s="1">
        <v>0.30598900000000001</v>
      </c>
      <c r="Q20" s="1">
        <f t="shared" si="2"/>
        <v>0.32624720000000001</v>
      </c>
    </row>
    <row r="21" spans="1:17" x14ac:dyDescent="0.35">
      <c r="A21" s="1">
        <v>9000.01</v>
      </c>
      <c r="B21" s="1">
        <v>100</v>
      </c>
      <c r="C21" s="1">
        <v>0</v>
      </c>
      <c r="F21" s="1">
        <f t="shared" si="0"/>
        <v>0.90000100000000005</v>
      </c>
      <c r="G21" s="1">
        <f>B21*$H$1/8.38/10^22*100</f>
        <v>7.8758949880668248E-4</v>
      </c>
      <c r="H21" s="1">
        <f t="shared" si="1"/>
        <v>2.3306781622911692</v>
      </c>
      <c r="N21" s="1">
        <v>9000.01</v>
      </c>
      <c r="O21" s="1">
        <v>2.0926500000000001E-2</v>
      </c>
      <c r="P21" s="1">
        <v>0.27499899999999999</v>
      </c>
      <c r="Q21" s="1">
        <f t="shared" si="2"/>
        <v>0.29592550000000001</v>
      </c>
    </row>
    <row r="22" spans="1:17" x14ac:dyDescent="0.35">
      <c r="A22" s="1">
        <v>9500.01</v>
      </c>
      <c r="B22" s="1">
        <v>400</v>
      </c>
      <c r="C22" s="1">
        <v>0</v>
      </c>
      <c r="F22" s="1">
        <f t="shared" si="0"/>
        <v>0.95000099999999998</v>
      </c>
      <c r="G22" s="1">
        <f>B22*$H$1/8.38/10^22*100</f>
        <v>3.1503579952267299E-3</v>
      </c>
      <c r="H22" s="1">
        <f t="shared" si="1"/>
        <v>2.6038008114558471</v>
      </c>
      <c r="N22" s="1">
        <v>9500.01</v>
      </c>
      <c r="O22" s="1">
        <v>2.1886800000000001E-2</v>
      </c>
      <c r="P22" s="1">
        <v>0.30871700000000002</v>
      </c>
      <c r="Q22" s="1">
        <f t="shared" si="2"/>
        <v>0.3306038</v>
      </c>
    </row>
    <row r="23" spans="1:17" x14ac:dyDescent="0.35">
      <c r="A23" s="1">
        <v>10000</v>
      </c>
      <c r="B23" s="1">
        <v>700</v>
      </c>
      <c r="C23" s="1">
        <v>0</v>
      </c>
      <c r="F23" s="1">
        <f t="shared" si="0"/>
        <v>1</v>
      </c>
      <c r="G23" s="1">
        <f>B23*$H$1/8.38/10^22*100</f>
        <v>5.5131264916467772E-3</v>
      </c>
      <c r="H23" s="1">
        <f t="shared" si="1"/>
        <v>2.7904232935560858</v>
      </c>
      <c r="N23" s="1">
        <v>10000</v>
      </c>
      <c r="O23" s="1">
        <v>2.31092E-2</v>
      </c>
      <c r="P23" s="1">
        <v>0.33118999999999998</v>
      </c>
      <c r="Q23" s="1">
        <f t="shared" si="2"/>
        <v>0.35429919999999998</v>
      </c>
    </row>
    <row r="24" spans="1:17" x14ac:dyDescent="0.35">
      <c r="A24" s="1">
        <v>10500</v>
      </c>
      <c r="B24" s="1">
        <v>500</v>
      </c>
      <c r="C24" s="1">
        <v>0</v>
      </c>
      <c r="F24" s="1">
        <f t="shared" si="0"/>
        <v>1.05</v>
      </c>
      <c r="G24" s="1">
        <f>B24*$H$1/8.38/10^22*100</f>
        <v>3.9379474940334129E-3</v>
      </c>
      <c r="H24" s="1">
        <f t="shared" si="1"/>
        <v>2.9431652505966581</v>
      </c>
      <c r="N24" s="1">
        <v>10500</v>
      </c>
      <c r="O24" s="1">
        <v>2.3888800000000002E-2</v>
      </c>
      <c r="P24" s="1">
        <v>0.349804</v>
      </c>
      <c r="Q24" s="1">
        <f t="shared" si="2"/>
        <v>0.37369279999999999</v>
      </c>
    </row>
    <row r="25" spans="1:17" x14ac:dyDescent="0.35">
      <c r="A25" s="1">
        <v>11000</v>
      </c>
      <c r="B25" s="1">
        <v>500</v>
      </c>
      <c r="C25" s="1">
        <v>0</v>
      </c>
      <c r="F25" s="1">
        <f t="shared" si="0"/>
        <v>1.1000000000000001</v>
      </c>
      <c r="G25" s="1">
        <f>B25*$H$1/8.38/10^22*100</f>
        <v>3.9379474940334129E-3</v>
      </c>
      <c r="H25" s="1">
        <f t="shared" si="1"/>
        <v>2.8846442004773274</v>
      </c>
      <c r="N25" s="1">
        <v>11000</v>
      </c>
      <c r="O25" s="1">
        <v>2.4797400000000001E-2</v>
      </c>
      <c r="P25" s="1">
        <v>0.34146500000000002</v>
      </c>
      <c r="Q25" s="1">
        <f t="shared" si="2"/>
        <v>0.36626240000000004</v>
      </c>
    </row>
    <row r="26" spans="1:17" x14ac:dyDescent="0.35">
      <c r="A26" s="1">
        <v>11500</v>
      </c>
      <c r="B26" s="1">
        <v>1200</v>
      </c>
      <c r="C26" s="1">
        <v>0</v>
      </c>
      <c r="F26" s="1">
        <f t="shared" si="0"/>
        <v>1.1499999999999999</v>
      </c>
      <c r="G26" s="1">
        <f>B26*$H$1/8.38/10^22*100</f>
        <v>9.4510739856801893E-3</v>
      </c>
      <c r="H26" s="1">
        <f t="shared" si="1"/>
        <v>3.2145701670644389</v>
      </c>
      <c r="N26" s="1">
        <v>11500</v>
      </c>
      <c r="O26" s="1">
        <v>2.5565999999999998E-2</v>
      </c>
      <c r="P26" s="1">
        <v>0.38258700000000001</v>
      </c>
      <c r="Q26" s="1">
        <f t="shared" si="2"/>
        <v>0.40815299999999999</v>
      </c>
    </row>
    <row r="27" spans="1:17" x14ac:dyDescent="0.35">
      <c r="A27" s="1">
        <v>12000</v>
      </c>
      <c r="B27" s="1">
        <v>600</v>
      </c>
      <c r="C27" s="1">
        <v>0</v>
      </c>
      <c r="F27" s="1">
        <f t="shared" si="0"/>
        <v>1.2</v>
      </c>
      <c r="G27" s="1">
        <f>B27*$H$1/8.38/10^22*100</f>
        <v>4.7255369928400947E-3</v>
      </c>
      <c r="H27" s="1">
        <f t="shared" si="1"/>
        <v>3.3654872792362762</v>
      </c>
      <c r="N27" s="1">
        <v>12000</v>
      </c>
      <c r="O27" s="1">
        <v>2.62949E-2</v>
      </c>
      <c r="P27" s="1">
        <v>0.40101999999999999</v>
      </c>
      <c r="Q27" s="1">
        <f t="shared" si="2"/>
        <v>0.4273149</v>
      </c>
    </row>
    <row r="28" spans="1:17" x14ac:dyDescent="0.35">
      <c r="A28" s="1">
        <v>12500</v>
      </c>
      <c r="B28" s="1">
        <v>800</v>
      </c>
      <c r="C28" s="1">
        <v>0</v>
      </c>
      <c r="F28" s="1">
        <f t="shared" si="0"/>
        <v>1.25</v>
      </c>
      <c r="G28" s="1">
        <f>B28*$H$1/8.38/10^22*100</f>
        <v>6.3007159904534598E-3</v>
      </c>
      <c r="H28" s="1">
        <f t="shared" si="1"/>
        <v>3.9131801670644384</v>
      </c>
      <c r="N28" s="1">
        <v>12500</v>
      </c>
      <c r="O28" s="1">
        <v>2.7954300000000001E-2</v>
      </c>
      <c r="P28" s="1">
        <v>0.46890100000000001</v>
      </c>
      <c r="Q28" s="1">
        <f t="shared" si="2"/>
        <v>0.4968553</v>
      </c>
    </row>
    <row r="29" spans="1:17" x14ac:dyDescent="0.35">
      <c r="A29" s="1">
        <v>13000</v>
      </c>
      <c r="B29" s="1">
        <v>2200</v>
      </c>
      <c r="C29" s="1">
        <v>0</v>
      </c>
      <c r="F29" s="1">
        <f t="shared" si="0"/>
        <v>1.3</v>
      </c>
      <c r="G29" s="1">
        <f>B29*$H$1/8.38/10^22*100</f>
        <v>1.7326968973747015E-2</v>
      </c>
      <c r="H29" s="1">
        <f t="shared" si="1"/>
        <v>4.0544516706443909</v>
      </c>
      <c r="N29" s="1">
        <v>13000</v>
      </c>
      <c r="O29" s="1">
        <v>2.9066499999999999E-2</v>
      </c>
      <c r="P29" s="1">
        <v>0.48572599999999999</v>
      </c>
      <c r="Q29" s="1">
        <f t="shared" si="2"/>
        <v>0.51479249999999999</v>
      </c>
    </row>
    <row r="30" spans="1:17" x14ac:dyDescent="0.35">
      <c r="A30" s="1">
        <v>13500</v>
      </c>
      <c r="B30" s="1">
        <v>2000</v>
      </c>
      <c r="C30" s="1">
        <v>0</v>
      </c>
      <c r="F30" s="1">
        <f t="shared" si="0"/>
        <v>1.35</v>
      </c>
      <c r="G30" s="1">
        <f>B30*$H$1/8.38/10^22*100</f>
        <v>1.5751789976133652E-2</v>
      </c>
      <c r="H30" s="1">
        <f t="shared" si="1"/>
        <v>4.6387343914081152</v>
      </c>
      <c r="N30" s="1">
        <v>13500</v>
      </c>
      <c r="O30" s="1">
        <v>2.9758699999999999E-2</v>
      </c>
      <c r="P30" s="1">
        <v>0.55922000000000005</v>
      </c>
      <c r="Q30" s="1">
        <f t="shared" si="2"/>
        <v>0.58897870000000008</v>
      </c>
    </row>
    <row r="31" spans="1:17" x14ac:dyDescent="0.35">
      <c r="A31" s="1">
        <v>14000</v>
      </c>
      <c r="B31" s="1">
        <v>2300</v>
      </c>
      <c r="C31" s="1">
        <v>0</v>
      </c>
      <c r="F31" s="1">
        <f t="shared" si="0"/>
        <v>1.4</v>
      </c>
      <c r="G31" s="1">
        <f>B31*$H$1/8.38/10^22*100</f>
        <v>1.8114558472553697E-2</v>
      </c>
      <c r="H31" s="1">
        <f t="shared" si="1"/>
        <v>4.6091863961813848</v>
      </c>
      <c r="N31" s="1">
        <v>14000</v>
      </c>
      <c r="O31" s="1">
        <v>3.0003999999999999E-2</v>
      </c>
      <c r="P31" s="1">
        <v>0.55522300000000002</v>
      </c>
      <c r="Q31" s="1">
        <f t="shared" si="2"/>
        <v>0.58522700000000005</v>
      </c>
    </row>
    <row r="32" spans="1:17" x14ac:dyDescent="0.35">
      <c r="A32" s="1">
        <v>14500</v>
      </c>
      <c r="B32" s="1">
        <v>2600</v>
      </c>
      <c r="C32" s="1">
        <v>0</v>
      </c>
      <c r="F32" s="1">
        <f t="shared" si="0"/>
        <v>1.45</v>
      </c>
      <c r="G32" s="1">
        <f>B32*$H$1/8.38/10^22*100</f>
        <v>2.0477326968973746E-2</v>
      </c>
      <c r="H32" s="1">
        <f t="shared" si="1"/>
        <v>5.0208287112171837</v>
      </c>
      <c r="N32" s="1">
        <v>14500</v>
      </c>
      <c r="O32" s="1">
        <v>3.1981099999999998E-2</v>
      </c>
      <c r="P32" s="1">
        <v>0.60551200000000005</v>
      </c>
      <c r="Q32" s="1">
        <f t="shared" si="2"/>
        <v>0.63749310000000003</v>
      </c>
    </row>
    <row r="33" spans="1:17" x14ac:dyDescent="0.35">
      <c r="A33" s="1">
        <v>15000</v>
      </c>
      <c r="B33" s="1">
        <v>4500</v>
      </c>
      <c r="C33" s="1">
        <v>0</v>
      </c>
      <c r="F33" s="1">
        <f t="shared" si="0"/>
        <v>1.5</v>
      </c>
      <c r="G33" s="1">
        <f>B33*$H$1/8.38/10^22*100</f>
        <v>3.5441527446300712E-2</v>
      </c>
      <c r="H33" s="1">
        <f t="shared" si="1"/>
        <v>5.4667705489260126</v>
      </c>
      <c r="N33" s="1">
        <v>15000</v>
      </c>
      <c r="O33" s="1">
        <v>3.3831199999999999E-2</v>
      </c>
      <c r="P33" s="1">
        <v>0.66028299999999995</v>
      </c>
      <c r="Q33" s="1">
        <f t="shared" si="2"/>
        <v>0.6941141999999999</v>
      </c>
    </row>
    <row r="34" spans="1:17" x14ac:dyDescent="0.35">
      <c r="A34" s="1">
        <v>15500</v>
      </c>
      <c r="B34" s="1">
        <v>5800</v>
      </c>
      <c r="C34" s="1">
        <v>0</v>
      </c>
      <c r="F34" s="1">
        <f t="shared" si="0"/>
        <v>1.55</v>
      </c>
      <c r="G34" s="1">
        <f>B34*$H$1/8.38/10^22*100</f>
        <v>4.5680190930787588E-2</v>
      </c>
      <c r="H34" s="1">
        <f t="shared" si="1"/>
        <v>6.0217636038186155</v>
      </c>
      <c r="N34" s="1">
        <v>15500</v>
      </c>
      <c r="O34" s="1">
        <v>3.6639499999999998E-2</v>
      </c>
      <c r="P34" s="1">
        <v>0.72794199999999998</v>
      </c>
      <c r="Q34" s="1">
        <f t="shared" si="2"/>
        <v>0.76458150000000002</v>
      </c>
    </row>
    <row r="35" spans="1:17" x14ac:dyDescent="0.35">
      <c r="A35" s="1">
        <v>16000</v>
      </c>
      <c r="B35" s="1">
        <v>9000</v>
      </c>
      <c r="C35" s="1">
        <v>0</v>
      </c>
      <c r="F35" s="1">
        <f t="shared" si="0"/>
        <v>1.6</v>
      </c>
      <c r="G35" s="1">
        <f>B35*$H$1/8.38/10^22*100</f>
        <v>7.0883054892601424E-2</v>
      </c>
      <c r="H35" s="1">
        <f t="shared" si="1"/>
        <v>6.3676642482100236</v>
      </c>
      <c r="N35" s="1">
        <v>16000</v>
      </c>
      <c r="O35" s="1">
        <v>3.93774E-2</v>
      </c>
      <c r="P35" s="1">
        <v>0.769123</v>
      </c>
      <c r="Q35" s="1">
        <f t="shared" si="2"/>
        <v>0.80850040000000001</v>
      </c>
    </row>
    <row r="36" spans="1:17" x14ac:dyDescent="0.35">
      <c r="A36" s="1">
        <v>16500</v>
      </c>
      <c r="B36" s="1">
        <v>10500</v>
      </c>
      <c r="C36" s="1">
        <v>0</v>
      </c>
      <c r="F36" s="1">
        <f t="shared" si="0"/>
        <v>1.65</v>
      </c>
      <c r="G36" s="1">
        <f>B36*$H$1/8.38/10^22*100</f>
        <v>8.2696897374701664E-2</v>
      </c>
      <c r="H36" s="1">
        <f t="shared" si="1"/>
        <v>6.403149093078758</v>
      </c>
      <c r="N36" s="1">
        <v>16500</v>
      </c>
      <c r="O36" s="1">
        <v>3.9732900000000002E-2</v>
      </c>
      <c r="P36" s="1">
        <v>0.77327299999999999</v>
      </c>
      <c r="Q36" s="1">
        <f t="shared" si="2"/>
        <v>0.81300589999999995</v>
      </c>
    </row>
    <row r="37" spans="1:17" x14ac:dyDescent="0.35">
      <c r="A37" s="1">
        <v>17000</v>
      </c>
      <c r="B37" s="1">
        <v>10400</v>
      </c>
      <c r="C37" s="1">
        <v>0</v>
      </c>
      <c r="F37" s="1">
        <f t="shared" si="0"/>
        <v>1.7</v>
      </c>
      <c r="G37" s="1">
        <f>B37*$H$1/8.38/10^22*100</f>
        <v>8.1909307875894982E-2</v>
      </c>
      <c r="H37" s="1">
        <f t="shared" si="1"/>
        <v>6.5742340095465384</v>
      </c>
      <c r="N37" s="1">
        <v>17000</v>
      </c>
      <c r="O37" s="1">
        <v>4.05055E-2</v>
      </c>
      <c r="P37" s="1">
        <v>0.79422300000000001</v>
      </c>
      <c r="Q37" s="1">
        <f t="shared" si="2"/>
        <v>0.83472849999999998</v>
      </c>
    </row>
    <row r="38" spans="1:17" x14ac:dyDescent="0.35">
      <c r="A38" s="1">
        <v>17500</v>
      </c>
      <c r="B38" s="1">
        <v>14500</v>
      </c>
      <c r="C38" s="1">
        <v>0</v>
      </c>
      <c r="F38" s="1">
        <f t="shared" si="0"/>
        <v>1.75</v>
      </c>
      <c r="G38" s="1">
        <f>B38*$H$1/8.38/10^22*100</f>
        <v>0.11420047732696895</v>
      </c>
      <c r="H38" s="1">
        <f t="shared" si="1"/>
        <v>6.4672108353221951</v>
      </c>
      <c r="N38" s="1">
        <v>17500</v>
      </c>
      <c r="O38" s="1">
        <v>4.06018E-2</v>
      </c>
      <c r="P38" s="1">
        <v>0.78053799999999995</v>
      </c>
      <c r="Q38" s="1">
        <f t="shared" si="2"/>
        <v>0.82113979999999998</v>
      </c>
    </row>
    <row r="39" spans="1:17" x14ac:dyDescent="0.35">
      <c r="A39" s="1">
        <v>18000</v>
      </c>
      <c r="B39" s="1">
        <v>14900</v>
      </c>
      <c r="C39" s="1">
        <v>0</v>
      </c>
      <c r="F39" s="1">
        <f t="shared" si="0"/>
        <v>1.8</v>
      </c>
      <c r="G39" s="1">
        <f>B39*$H$1/8.38/10^22*100</f>
        <v>0.1173508353221957</v>
      </c>
      <c r="H39" s="1">
        <f t="shared" si="1"/>
        <v>6.0487574463007157</v>
      </c>
      <c r="N39" s="1">
        <v>18000</v>
      </c>
      <c r="O39" s="1">
        <v>3.9158900000000003E-2</v>
      </c>
      <c r="P39" s="1">
        <v>0.72885</v>
      </c>
      <c r="Q39" s="1">
        <f t="shared" si="2"/>
        <v>0.76800889999999999</v>
      </c>
    </row>
    <row r="40" spans="1:17" x14ac:dyDescent="0.35">
      <c r="A40" s="1">
        <v>18500</v>
      </c>
      <c r="B40" s="1">
        <v>17100</v>
      </c>
      <c r="C40" s="1">
        <v>0</v>
      </c>
      <c r="F40" s="1">
        <f t="shared" si="0"/>
        <v>1.85</v>
      </c>
      <c r="G40" s="1">
        <f>B40*$H$1/8.38/10^22*100</f>
        <v>0.1346778042959427</v>
      </c>
      <c r="H40" s="1">
        <f t="shared" si="1"/>
        <v>6.0322542959427192</v>
      </c>
      <c r="N40" s="1">
        <v>18500</v>
      </c>
      <c r="O40" s="1">
        <v>3.8207499999999998E-2</v>
      </c>
      <c r="P40" s="1">
        <v>0.72770599999999996</v>
      </c>
      <c r="Q40" s="1">
        <f t="shared" si="2"/>
        <v>0.76591349999999991</v>
      </c>
    </row>
    <row r="41" spans="1:17" x14ac:dyDescent="0.35">
      <c r="A41" s="1">
        <v>19000</v>
      </c>
      <c r="B41" s="1">
        <v>20300</v>
      </c>
      <c r="C41" s="1">
        <v>0</v>
      </c>
      <c r="F41" s="1">
        <f t="shared" si="0"/>
        <v>1.9</v>
      </c>
      <c r="G41" s="1">
        <f>B41*$H$1/8.38/10^22*100</f>
        <v>0.15988066825775657</v>
      </c>
      <c r="H41" s="1">
        <f t="shared" si="1"/>
        <v>5.226623484486872</v>
      </c>
      <c r="N41" s="1">
        <v>19000</v>
      </c>
      <c r="O41" s="1">
        <v>3.5458799999999999E-2</v>
      </c>
      <c r="P41" s="1">
        <v>0.62816399999999994</v>
      </c>
      <c r="Q41" s="1">
        <f t="shared" si="2"/>
        <v>0.66362279999999996</v>
      </c>
    </row>
    <row r="42" spans="1:17" x14ac:dyDescent="0.35">
      <c r="A42" s="1">
        <v>19500</v>
      </c>
      <c r="B42" s="1">
        <v>19900</v>
      </c>
      <c r="C42" s="1">
        <v>0</v>
      </c>
      <c r="F42" s="1">
        <f t="shared" si="0"/>
        <v>1.95</v>
      </c>
      <c r="G42" s="1">
        <f>B42*$H$1/8.38/10^22*100</f>
        <v>0.15673031026252982</v>
      </c>
      <c r="H42" s="1">
        <f t="shared" si="1"/>
        <v>4.4889553460620517</v>
      </c>
      <c r="N42" s="1">
        <v>19500</v>
      </c>
      <c r="O42" s="1">
        <v>2.9102300000000001E-2</v>
      </c>
      <c r="P42" s="1">
        <v>0.54085899999999998</v>
      </c>
      <c r="Q42" s="1">
        <f t="shared" si="2"/>
        <v>0.5699613</v>
      </c>
    </row>
    <row r="43" spans="1:17" x14ac:dyDescent="0.35">
      <c r="A43" s="1">
        <v>20000</v>
      </c>
      <c r="B43" s="1">
        <v>17900</v>
      </c>
      <c r="C43" s="1">
        <v>0</v>
      </c>
      <c r="F43" s="1">
        <f t="shared" si="0"/>
        <v>2</v>
      </c>
      <c r="G43" s="1">
        <f>B43*$H$1/8.38/10^22*100</f>
        <v>0.14097852028639618</v>
      </c>
      <c r="H43" s="1">
        <f t="shared" si="1"/>
        <v>3.2318238902147969</v>
      </c>
      <c r="N43" s="1">
        <v>20000</v>
      </c>
      <c r="O43" s="1">
        <v>2.3179700000000001E-2</v>
      </c>
      <c r="P43" s="1">
        <v>0.38716400000000001</v>
      </c>
      <c r="Q43" s="1">
        <f t="shared" si="2"/>
        <v>0.41034370000000003</v>
      </c>
    </row>
    <row r="44" spans="1:17" x14ac:dyDescent="0.35">
      <c r="A44" s="1">
        <v>20500</v>
      </c>
      <c r="B44" s="1">
        <v>15100</v>
      </c>
      <c r="C44" s="1">
        <v>0</v>
      </c>
      <c r="F44" s="1">
        <f t="shared" si="0"/>
        <v>2.0499999999999998</v>
      </c>
      <c r="G44" s="1">
        <f>B44*$H$1/8.38/10^22*100</f>
        <v>0.11892601431980906</v>
      </c>
      <c r="H44" s="1">
        <f t="shared" si="1"/>
        <v>2.3125730548926011</v>
      </c>
      <c r="N44" s="1">
        <v>20500</v>
      </c>
      <c r="O44" s="1">
        <v>1.71877E-2</v>
      </c>
      <c r="P44" s="1">
        <v>0.27643899999999999</v>
      </c>
      <c r="Q44" s="1">
        <f t="shared" si="2"/>
        <v>0.29362670000000002</v>
      </c>
    </row>
    <row r="45" spans="1:17" x14ac:dyDescent="0.35">
      <c r="A45" s="1">
        <v>21000</v>
      </c>
      <c r="B45" s="1">
        <v>10000</v>
      </c>
      <c r="C45" s="1">
        <v>0</v>
      </c>
      <c r="F45" s="1">
        <f t="shared" si="0"/>
        <v>2.1</v>
      </c>
      <c r="G45" s="1">
        <f>B45*$H$1/8.38/10^22*100</f>
        <v>7.8758949880668241E-2</v>
      </c>
      <c r="H45" s="1">
        <f t="shared" si="1"/>
        <v>1.3900592362768496</v>
      </c>
      <c r="N45" s="1">
        <v>21000</v>
      </c>
      <c r="O45" s="1">
        <v>1.02214E-2</v>
      </c>
      <c r="P45" s="1">
        <v>0.16627400000000001</v>
      </c>
      <c r="Q45" s="1">
        <f t="shared" si="2"/>
        <v>0.1764954</v>
      </c>
    </row>
    <row r="46" spans="1:17" x14ac:dyDescent="0.35">
      <c r="A46" s="1">
        <v>21500</v>
      </c>
      <c r="B46" s="1">
        <v>8000</v>
      </c>
      <c r="C46" s="1">
        <v>0</v>
      </c>
      <c r="F46" s="1">
        <f t="shared" si="0"/>
        <v>2.15</v>
      </c>
      <c r="G46" s="1">
        <f>B46*$H$1/8.38/10^22*100</f>
        <v>6.3007159904534607E-2</v>
      </c>
      <c r="H46" s="1">
        <f t="shared" si="1"/>
        <v>0.8757476205250595</v>
      </c>
      <c r="N46" s="1">
        <v>21500</v>
      </c>
      <c r="O46" s="1">
        <v>6.6564099999999998E-3</v>
      </c>
      <c r="P46" s="1">
        <v>0.104537</v>
      </c>
      <c r="Q46" s="1">
        <f t="shared" si="2"/>
        <v>0.11119341000000001</v>
      </c>
    </row>
    <row r="47" spans="1:17" x14ac:dyDescent="0.35">
      <c r="A47" s="1">
        <v>22000</v>
      </c>
      <c r="B47" s="1">
        <v>4300</v>
      </c>
      <c r="C47" s="1">
        <v>0</v>
      </c>
      <c r="F47" s="1">
        <f t="shared" si="0"/>
        <v>2.2000000000000002</v>
      </c>
      <c r="G47" s="1">
        <f>B47*$H$1/8.38/10^22*100</f>
        <v>3.3866348448687349E-2</v>
      </c>
      <c r="H47" s="1">
        <f t="shared" si="1"/>
        <v>0.41475297852028636</v>
      </c>
      <c r="N47" s="1">
        <v>22000</v>
      </c>
      <c r="O47" s="1">
        <v>3.2204600000000001E-3</v>
      </c>
      <c r="P47" s="1">
        <v>4.9440600000000001E-2</v>
      </c>
      <c r="Q47" s="1">
        <f t="shared" si="2"/>
        <v>5.2661060000000003E-2</v>
      </c>
    </row>
    <row r="48" spans="1:17" x14ac:dyDescent="0.35">
      <c r="A48" s="1">
        <v>22500</v>
      </c>
      <c r="B48" s="1">
        <v>2000</v>
      </c>
      <c r="C48" s="1">
        <v>0</v>
      </c>
      <c r="F48" s="1">
        <f t="shared" si="0"/>
        <v>2.25</v>
      </c>
      <c r="G48" s="1">
        <f>B48*$H$1/8.38/10^22*100</f>
        <v>1.5751789976133652E-2</v>
      </c>
      <c r="H48" s="1">
        <f t="shared" si="1"/>
        <v>0.14316408114558471</v>
      </c>
      <c r="N48" s="1">
        <v>22500</v>
      </c>
      <c r="O48" s="1">
        <v>1.2432999999999999E-3</v>
      </c>
      <c r="P48" s="1">
        <v>1.69342E-2</v>
      </c>
      <c r="Q48" s="1">
        <f t="shared" si="2"/>
        <v>1.8177499999999999E-2</v>
      </c>
    </row>
    <row r="49" spans="1:17" x14ac:dyDescent="0.35">
      <c r="A49" s="1">
        <v>23000</v>
      </c>
      <c r="B49" s="1">
        <v>700</v>
      </c>
      <c r="C49" s="1">
        <v>0</v>
      </c>
      <c r="F49" s="1">
        <f t="shared" si="0"/>
        <v>2.2999999999999998</v>
      </c>
      <c r="G49" s="1">
        <f>B49*$H$1/8.38/10^22*100</f>
        <v>5.5131264916467772E-3</v>
      </c>
      <c r="H49" s="1">
        <f t="shared" si="1"/>
        <v>4.6987770644391406E-2</v>
      </c>
      <c r="N49" s="1">
        <v>23000</v>
      </c>
      <c r="O49" s="1">
        <v>3.4955300000000001E-4</v>
      </c>
      <c r="P49" s="1">
        <v>5.6164700000000001E-3</v>
      </c>
      <c r="Q49" s="1">
        <f t="shared" si="2"/>
        <v>5.966023E-3</v>
      </c>
    </row>
    <row r="50" spans="1:17" x14ac:dyDescent="0.35">
      <c r="A50" s="1">
        <v>23500</v>
      </c>
      <c r="B50" s="1">
        <v>0</v>
      </c>
      <c r="C50" s="1">
        <v>0</v>
      </c>
      <c r="F50" s="1">
        <f t="shared" si="0"/>
        <v>2.35</v>
      </c>
      <c r="G50" s="1">
        <f>B50*$H$1/8.38/10^22*100</f>
        <v>0</v>
      </c>
      <c r="H50" s="1">
        <f t="shared" si="1"/>
        <v>0</v>
      </c>
      <c r="N50" s="1">
        <v>23500</v>
      </c>
      <c r="O50" s="1">
        <v>0</v>
      </c>
      <c r="P50" s="1">
        <v>0</v>
      </c>
      <c r="Q50" s="1">
        <f t="shared" si="2"/>
        <v>0</v>
      </c>
    </row>
    <row r="51" spans="1:17" x14ac:dyDescent="0.35">
      <c r="A51" s="1">
        <v>24000</v>
      </c>
      <c r="B51" s="1">
        <v>0</v>
      </c>
      <c r="C51" s="1">
        <v>0</v>
      </c>
      <c r="F51" s="1">
        <f t="shared" si="0"/>
        <v>2.4</v>
      </c>
      <c r="G51" s="1">
        <f>B51*$H$1/8.38/10^22*100</f>
        <v>0</v>
      </c>
      <c r="H51" s="1">
        <f t="shared" si="1"/>
        <v>0</v>
      </c>
      <c r="N51" s="1">
        <v>24000</v>
      </c>
      <c r="O51" s="1">
        <v>0</v>
      </c>
      <c r="P51" s="1">
        <v>0</v>
      </c>
      <c r="Q51" s="1">
        <f t="shared" si="2"/>
        <v>0</v>
      </c>
    </row>
    <row r="52" spans="1:17" x14ac:dyDescent="0.35">
      <c r="A52" s="1">
        <v>24500</v>
      </c>
      <c r="B52" s="1">
        <v>0</v>
      </c>
      <c r="C52" s="1">
        <v>0</v>
      </c>
      <c r="F52" s="1">
        <f t="shared" si="0"/>
        <v>2.4500000000000002</v>
      </c>
      <c r="G52" s="1">
        <f>B52*$H$1/8.38/10^22*100</f>
        <v>0</v>
      </c>
      <c r="H52" s="1">
        <f t="shared" si="1"/>
        <v>0</v>
      </c>
      <c r="N52" s="1">
        <v>24500</v>
      </c>
      <c r="O52" s="1">
        <v>0</v>
      </c>
      <c r="P52" s="1">
        <v>0</v>
      </c>
      <c r="Q52" s="1">
        <f t="shared" si="2"/>
        <v>0</v>
      </c>
    </row>
    <row r="53" spans="1:17" x14ac:dyDescent="0.35">
      <c r="A53" s="1">
        <v>25000</v>
      </c>
      <c r="B53" s="1">
        <v>0</v>
      </c>
      <c r="C53" s="1">
        <v>0</v>
      </c>
      <c r="F53" s="1">
        <f t="shared" si="0"/>
        <v>2.5</v>
      </c>
      <c r="G53" s="1">
        <f>B53*$H$1/8.38/10^22*100</f>
        <v>0</v>
      </c>
      <c r="H53" s="1">
        <f t="shared" si="1"/>
        <v>0</v>
      </c>
      <c r="N53" s="1">
        <v>25000</v>
      </c>
      <c r="O53" s="1">
        <v>0</v>
      </c>
      <c r="P53" s="1">
        <v>0</v>
      </c>
      <c r="Q53" s="1">
        <f t="shared" si="2"/>
        <v>0</v>
      </c>
    </row>
    <row r="54" spans="1:17" x14ac:dyDescent="0.35">
      <c r="A54" s="1">
        <v>25500</v>
      </c>
      <c r="B54" s="1">
        <v>0</v>
      </c>
      <c r="C54" s="1">
        <v>0</v>
      </c>
      <c r="F54" s="1">
        <f t="shared" si="0"/>
        <v>2.5499999999999998</v>
      </c>
      <c r="G54" s="1">
        <f>B54*$H$1/8.38/10^22*100</f>
        <v>0</v>
      </c>
      <c r="H54" s="1">
        <f t="shared" si="1"/>
        <v>0</v>
      </c>
      <c r="N54" s="1">
        <v>25500</v>
      </c>
      <c r="O54" s="1">
        <v>0</v>
      </c>
      <c r="P54" s="1">
        <v>0</v>
      </c>
      <c r="Q54" s="1">
        <f t="shared" si="2"/>
        <v>0</v>
      </c>
    </row>
    <row r="55" spans="1:17" x14ac:dyDescent="0.35">
      <c r="A55" s="1">
        <v>26000</v>
      </c>
      <c r="B55" s="1">
        <v>0</v>
      </c>
      <c r="C55" s="1">
        <v>0</v>
      </c>
      <c r="F55" s="1">
        <f t="shared" si="0"/>
        <v>2.6</v>
      </c>
      <c r="G55" s="1">
        <f>B55*$H$1/8.38/10^22*100</f>
        <v>0</v>
      </c>
      <c r="H55" s="1">
        <f t="shared" si="1"/>
        <v>0</v>
      </c>
      <c r="N55" s="1">
        <v>26000</v>
      </c>
      <c r="O55" s="1">
        <v>0</v>
      </c>
      <c r="P55" s="1">
        <v>0</v>
      </c>
      <c r="Q55" s="1">
        <f t="shared" si="2"/>
        <v>0</v>
      </c>
    </row>
    <row r="56" spans="1:17" x14ac:dyDescent="0.35">
      <c r="A56" s="1">
        <v>26500</v>
      </c>
      <c r="B56" s="1">
        <v>0</v>
      </c>
      <c r="C56" s="1">
        <v>0</v>
      </c>
      <c r="F56" s="1">
        <f t="shared" si="0"/>
        <v>2.65</v>
      </c>
      <c r="G56" s="1">
        <f>B56*$H$1/8.38/10^22*100</f>
        <v>0</v>
      </c>
      <c r="H56" s="1">
        <f t="shared" si="1"/>
        <v>0</v>
      </c>
      <c r="N56" s="1">
        <v>26500</v>
      </c>
      <c r="O56" s="1">
        <v>0</v>
      </c>
      <c r="P56" s="1">
        <v>0</v>
      </c>
      <c r="Q56" s="1">
        <f t="shared" si="2"/>
        <v>0</v>
      </c>
    </row>
    <row r="57" spans="1:17" x14ac:dyDescent="0.35">
      <c r="A57" s="1">
        <v>27000</v>
      </c>
      <c r="B57" s="1">
        <v>0</v>
      </c>
      <c r="C57" s="1">
        <v>0</v>
      </c>
      <c r="F57" s="1">
        <f t="shared" si="0"/>
        <v>2.7</v>
      </c>
      <c r="G57" s="1">
        <f>B57*$H$1/8.38/10^22*100</f>
        <v>0</v>
      </c>
      <c r="H57" s="1">
        <f t="shared" si="1"/>
        <v>0</v>
      </c>
      <c r="N57" s="1">
        <v>27000</v>
      </c>
      <c r="O57" s="1">
        <v>0</v>
      </c>
      <c r="P57" s="1">
        <v>0</v>
      </c>
      <c r="Q57" s="1">
        <f t="shared" si="2"/>
        <v>0</v>
      </c>
    </row>
    <row r="58" spans="1:17" x14ac:dyDescent="0.35">
      <c r="A58" s="1">
        <v>27500</v>
      </c>
      <c r="B58" s="1">
        <v>0</v>
      </c>
      <c r="C58" s="1">
        <v>0</v>
      </c>
      <c r="F58" s="1">
        <f t="shared" si="0"/>
        <v>2.75</v>
      </c>
      <c r="G58" s="1">
        <f>B58*$H$1/8.38/10^22*100</f>
        <v>0</v>
      </c>
      <c r="H58" s="1">
        <f t="shared" si="1"/>
        <v>0</v>
      </c>
      <c r="N58" s="1">
        <v>27500</v>
      </c>
      <c r="O58" s="1">
        <v>0</v>
      </c>
      <c r="P58" s="1">
        <v>0</v>
      </c>
      <c r="Q58" s="1">
        <f t="shared" si="2"/>
        <v>0</v>
      </c>
    </row>
    <row r="59" spans="1:17" x14ac:dyDescent="0.35">
      <c r="A59" s="1">
        <v>28000</v>
      </c>
      <c r="B59" s="1">
        <v>0</v>
      </c>
      <c r="C59" s="1">
        <v>0</v>
      </c>
      <c r="F59" s="1">
        <f t="shared" si="0"/>
        <v>2.8</v>
      </c>
      <c r="G59" s="1">
        <f>B59*$H$1/8.38/10^22*100</f>
        <v>0</v>
      </c>
      <c r="H59" s="1">
        <f t="shared" si="1"/>
        <v>0</v>
      </c>
      <c r="N59" s="1">
        <v>28000</v>
      </c>
      <c r="O59" s="1">
        <v>0</v>
      </c>
      <c r="P59" s="1">
        <v>0</v>
      </c>
      <c r="Q59" s="1">
        <f t="shared" si="2"/>
        <v>0</v>
      </c>
    </row>
    <row r="60" spans="1:17" x14ac:dyDescent="0.35">
      <c r="A60" s="1">
        <v>28500</v>
      </c>
      <c r="B60" s="1">
        <v>0</v>
      </c>
      <c r="C60" s="1">
        <v>0</v>
      </c>
      <c r="F60" s="1">
        <f t="shared" si="0"/>
        <v>2.85</v>
      </c>
      <c r="G60" s="1">
        <f>B60*$H$1/8.38/10^22*100</f>
        <v>0</v>
      </c>
      <c r="H60" s="1">
        <f t="shared" si="1"/>
        <v>0</v>
      </c>
      <c r="N60" s="1">
        <v>28500</v>
      </c>
      <c r="O60" s="1">
        <v>0</v>
      </c>
      <c r="P60" s="1">
        <v>0</v>
      </c>
      <c r="Q60" s="1">
        <f t="shared" si="2"/>
        <v>0</v>
      </c>
    </row>
    <row r="61" spans="1:17" x14ac:dyDescent="0.35">
      <c r="A61" s="1">
        <v>29000</v>
      </c>
      <c r="B61" s="1">
        <v>0</v>
      </c>
      <c r="C61" s="1">
        <v>0</v>
      </c>
      <c r="F61" s="1">
        <f t="shared" si="0"/>
        <v>2.9</v>
      </c>
      <c r="G61" s="1">
        <f>B61*$H$1/8.38/10^22*100</f>
        <v>0</v>
      </c>
      <c r="H61" s="1">
        <f t="shared" si="1"/>
        <v>0</v>
      </c>
      <c r="N61" s="1">
        <v>29000</v>
      </c>
      <c r="O61" s="1">
        <v>0</v>
      </c>
      <c r="P61" s="1">
        <v>0</v>
      </c>
      <c r="Q61" s="1">
        <f t="shared" si="2"/>
        <v>0</v>
      </c>
    </row>
    <row r="62" spans="1:17" x14ac:dyDescent="0.35">
      <c r="A62" s="1">
        <v>29500</v>
      </c>
      <c r="B62" s="1">
        <v>0</v>
      </c>
      <c r="C62" s="1">
        <v>0</v>
      </c>
      <c r="F62" s="1">
        <f t="shared" si="0"/>
        <v>2.95</v>
      </c>
      <c r="G62" s="1">
        <f>B62*$H$1/8.38/10^22*100</f>
        <v>0</v>
      </c>
      <c r="H62" s="1">
        <f t="shared" si="1"/>
        <v>0</v>
      </c>
      <c r="N62" s="1">
        <v>29500</v>
      </c>
      <c r="O62" s="1">
        <v>0</v>
      </c>
      <c r="P62" s="1">
        <v>0</v>
      </c>
      <c r="Q62" s="1">
        <f t="shared" si="2"/>
        <v>0</v>
      </c>
    </row>
    <row r="63" spans="1:17" x14ac:dyDescent="0.35">
      <c r="A63" s="1">
        <v>30000</v>
      </c>
      <c r="B63" s="1">
        <v>0</v>
      </c>
      <c r="C63" s="1">
        <v>0</v>
      </c>
      <c r="F63" s="1">
        <f t="shared" si="0"/>
        <v>3</v>
      </c>
      <c r="G63" s="1">
        <f>B63*$H$1/8.38/10^22*100</f>
        <v>0</v>
      </c>
      <c r="H63" s="1">
        <f t="shared" si="1"/>
        <v>0</v>
      </c>
      <c r="N63" s="1">
        <v>30000</v>
      </c>
      <c r="O63" s="1">
        <v>0</v>
      </c>
      <c r="P63" s="1">
        <v>0</v>
      </c>
      <c r="Q63" s="1">
        <f t="shared" si="2"/>
        <v>0</v>
      </c>
    </row>
    <row r="64" spans="1:17" x14ac:dyDescent="0.35">
      <c r="A64" s="1">
        <v>30500</v>
      </c>
      <c r="B64" s="1">
        <v>0</v>
      </c>
      <c r="C64" s="1">
        <v>0</v>
      </c>
      <c r="F64" s="1">
        <f t="shared" si="0"/>
        <v>3.05</v>
      </c>
      <c r="G64" s="1">
        <f>B64*$H$1/8.38/10^22*100</f>
        <v>0</v>
      </c>
      <c r="H64" s="1">
        <f t="shared" si="1"/>
        <v>0</v>
      </c>
      <c r="N64" s="1">
        <v>30500</v>
      </c>
      <c r="O64" s="1">
        <v>0</v>
      </c>
      <c r="P64" s="1">
        <v>0</v>
      </c>
      <c r="Q64" s="1">
        <f t="shared" si="2"/>
        <v>0</v>
      </c>
    </row>
    <row r="65" spans="1:17" x14ac:dyDescent="0.35">
      <c r="A65" s="1">
        <v>31000</v>
      </c>
      <c r="B65" s="1">
        <v>0</v>
      </c>
      <c r="C65" s="1">
        <v>0</v>
      </c>
      <c r="F65" s="1">
        <f t="shared" si="0"/>
        <v>3.1</v>
      </c>
      <c r="G65" s="1">
        <f>B65*$H$1/8.38/10^22*100</f>
        <v>0</v>
      </c>
      <c r="H65" s="1">
        <f t="shared" si="1"/>
        <v>0</v>
      </c>
      <c r="N65" s="1">
        <v>31000</v>
      </c>
      <c r="O65" s="1">
        <v>0</v>
      </c>
      <c r="P65" s="1">
        <v>0</v>
      </c>
      <c r="Q65" s="1">
        <f t="shared" si="2"/>
        <v>0</v>
      </c>
    </row>
    <row r="66" spans="1:17" x14ac:dyDescent="0.35">
      <c r="A66" s="1">
        <v>31500</v>
      </c>
      <c r="B66" s="1">
        <v>0</v>
      </c>
      <c r="C66" s="1">
        <v>0</v>
      </c>
      <c r="F66" s="1">
        <f t="shared" si="0"/>
        <v>3.15</v>
      </c>
      <c r="G66" s="1">
        <f>B66*$H$1/8.38/10^22*100</f>
        <v>0</v>
      </c>
      <c r="H66" s="1">
        <f t="shared" si="1"/>
        <v>0</v>
      </c>
      <c r="N66" s="1">
        <v>31500</v>
      </c>
      <c r="O66" s="1">
        <v>0</v>
      </c>
      <c r="P66" s="1">
        <v>0</v>
      </c>
      <c r="Q66" s="1">
        <f t="shared" si="2"/>
        <v>0</v>
      </c>
    </row>
    <row r="67" spans="1:17" x14ac:dyDescent="0.35">
      <c r="A67" s="1">
        <v>32000</v>
      </c>
      <c r="B67" s="1">
        <v>0</v>
      </c>
      <c r="C67" s="1">
        <v>0</v>
      </c>
      <c r="F67" s="1">
        <f t="shared" si="0"/>
        <v>3.2</v>
      </c>
      <c r="G67" s="1">
        <f>B67*$H$1/8.38/10^22*100</f>
        <v>0</v>
      </c>
      <c r="H67" s="1">
        <f t="shared" si="1"/>
        <v>0</v>
      </c>
      <c r="N67" s="1">
        <v>32000</v>
      </c>
      <c r="O67" s="1">
        <v>0</v>
      </c>
      <c r="P67" s="1">
        <v>0</v>
      </c>
      <c r="Q67" s="1">
        <f t="shared" si="2"/>
        <v>0</v>
      </c>
    </row>
    <row r="68" spans="1:17" x14ac:dyDescent="0.35">
      <c r="A68" s="1">
        <v>32500</v>
      </c>
      <c r="B68" s="1">
        <v>0</v>
      </c>
      <c r="C68" s="1">
        <v>0</v>
      </c>
      <c r="F68" s="1">
        <f t="shared" si="0"/>
        <v>3.25</v>
      </c>
      <c r="G68" s="1">
        <f>B68*$H$1/8.38/10^22*100</f>
        <v>0</v>
      </c>
      <c r="H68" s="1">
        <f t="shared" si="1"/>
        <v>0</v>
      </c>
      <c r="N68" s="1">
        <v>32500</v>
      </c>
      <c r="O68" s="1">
        <v>0</v>
      </c>
      <c r="P68" s="1">
        <v>0</v>
      </c>
      <c r="Q68" s="1">
        <f t="shared" si="2"/>
        <v>0</v>
      </c>
    </row>
    <row r="69" spans="1:17" x14ac:dyDescent="0.35">
      <c r="A69" s="1">
        <v>33000</v>
      </c>
      <c r="B69" s="1">
        <v>0</v>
      </c>
      <c r="C69" s="1">
        <v>0</v>
      </c>
      <c r="F69" s="1">
        <f t="shared" ref="F69:F103" si="3">A69/10000</f>
        <v>3.3</v>
      </c>
      <c r="G69" s="1">
        <f>B69*$H$1/8.38/10^22*100</f>
        <v>0</v>
      </c>
      <c r="H69" s="1">
        <f t="shared" ref="H69:H103" si="4">Q69*10^8*$H$1/8.38/10^22</f>
        <v>0</v>
      </c>
      <c r="N69" s="1">
        <v>33000</v>
      </c>
      <c r="O69" s="1">
        <v>0</v>
      </c>
      <c r="P69" s="1">
        <v>0</v>
      </c>
      <c r="Q69" s="1">
        <f t="shared" ref="Q69:Q103" si="5">O69+P69</f>
        <v>0</v>
      </c>
    </row>
    <row r="70" spans="1:17" x14ac:dyDescent="0.35">
      <c r="A70" s="1">
        <v>33500</v>
      </c>
      <c r="B70" s="1">
        <v>0</v>
      </c>
      <c r="C70" s="1">
        <v>0</v>
      </c>
      <c r="F70" s="1">
        <f t="shared" si="3"/>
        <v>3.35</v>
      </c>
      <c r="G70" s="1">
        <f>B70*$H$1/8.38/10^22*100</f>
        <v>0</v>
      </c>
      <c r="H70" s="1">
        <f t="shared" si="4"/>
        <v>0</v>
      </c>
      <c r="N70" s="1">
        <v>33500</v>
      </c>
      <c r="O70" s="1">
        <v>0</v>
      </c>
      <c r="P70" s="1">
        <v>0</v>
      </c>
      <c r="Q70" s="1">
        <f t="shared" si="5"/>
        <v>0</v>
      </c>
    </row>
    <row r="71" spans="1:17" x14ac:dyDescent="0.35">
      <c r="A71" s="1">
        <v>34000</v>
      </c>
      <c r="B71" s="1">
        <v>0</v>
      </c>
      <c r="C71" s="1">
        <v>0</v>
      </c>
      <c r="F71" s="1">
        <f t="shared" si="3"/>
        <v>3.4</v>
      </c>
      <c r="G71" s="1">
        <f>B71*$H$1/8.38/10^22*100</f>
        <v>0</v>
      </c>
      <c r="H71" s="1">
        <f t="shared" si="4"/>
        <v>0</v>
      </c>
      <c r="N71" s="1">
        <v>34000</v>
      </c>
      <c r="O71" s="1">
        <v>0</v>
      </c>
      <c r="P71" s="1">
        <v>0</v>
      </c>
      <c r="Q71" s="1">
        <f t="shared" si="5"/>
        <v>0</v>
      </c>
    </row>
    <row r="72" spans="1:17" x14ac:dyDescent="0.35">
      <c r="A72" s="1">
        <v>34500</v>
      </c>
      <c r="B72" s="1">
        <v>0</v>
      </c>
      <c r="C72" s="1">
        <v>0</v>
      </c>
      <c r="F72" s="1">
        <f t="shared" si="3"/>
        <v>3.45</v>
      </c>
      <c r="G72" s="1">
        <f>B72*$H$1/8.38/10^22*100</f>
        <v>0</v>
      </c>
      <c r="H72" s="1">
        <f t="shared" si="4"/>
        <v>0</v>
      </c>
      <c r="N72" s="1">
        <v>34500</v>
      </c>
      <c r="O72" s="1">
        <v>0</v>
      </c>
      <c r="P72" s="1">
        <v>0</v>
      </c>
      <c r="Q72" s="1">
        <f t="shared" si="5"/>
        <v>0</v>
      </c>
    </row>
    <row r="73" spans="1:17" x14ac:dyDescent="0.35">
      <c r="A73" s="1">
        <v>35000</v>
      </c>
      <c r="B73" s="1">
        <v>0</v>
      </c>
      <c r="C73" s="1">
        <v>0</v>
      </c>
      <c r="F73" s="1">
        <f t="shared" si="3"/>
        <v>3.5</v>
      </c>
      <c r="G73" s="1">
        <f>B73*$H$1/8.38/10^22*100</f>
        <v>0</v>
      </c>
      <c r="H73" s="1">
        <f t="shared" si="4"/>
        <v>0</v>
      </c>
      <c r="N73" s="1">
        <v>35000</v>
      </c>
      <c r="O73" s="1">
        <v>0</v>
      </c>
      <c r="P73" s="1">
        <v>0</v>
      </c>
      <c r="Q73" s="1">
        <f t="shared" si="5"/>
        <v>0</v>
      </c>
    </row>
    <row r="74" spans="1:17" x14ac:dyDescent="0.35">
      <c r="A74" s="1">
        <v>35500</v>
      </c>
      <c r="B74" s="1">
        <v>0</v>
      </c>
      <c r="C74" s="1">
        <v>0</v>
      </c>
      <c r="F74" s="1">
        <f t="shared" si="3"/>
        <v>3.55</v>
      </c>
      <c r="G74" s="1">
        <f>B74*$H$1/8.38/10^22*100</f>
        <v>0</v>
      </c>
      <c r="H74" s="1">
        <f t="shared" si="4"/>
        <v>0</v>
      </c>
      <c r="N74" s="1">
        <v>35500</v>
      </c>
      <c r="O74" s="1">
        <v>0</v>
      </c>
      <c r="P74" s="1">
        <v>0</v>
      </c>
      <c r="Q74" s="1">
        <f t="shared" si="5"/>
        <v>0</v>
      </c>
    </row>
    <row r="75" spans="1:17" x14ac:dyDescent="0.35">
      <c r="A75" s="1">
        <v>36000</v>
      </c>
      <c r="B75" s="1">
        <v>0</v>
      </c>
      <c r="C75" s="1">
        <v>0</v>
      </c>
      <c r="F75" s="1">
        <f t="shared" si="3"/>
        <v>3.6</v>
      </c>
      <c r="G75" s="1">
        <f>B75*$H$1/8.38/10^22*100</f>
        <v>0</v>
      </c>
      <c r="H75" s="1">
        <f t="shared" si="4"/>
        <v>0</v>
      </c>
      <c r="N75" s="1">
        <v>36000</v>
      </c>
      <c r="O75" s="1">
        <v>0</v>
      </c>
      <c r="P75" s="1">
        <v>0</v>
      </c>
      <c r="Q75" s="1">
        <f t="shared" si="5"/>
        <v>0</v>
      </c>
    </row>
    <row r="76" spans="1:17" x14ac:dyDescent="0.35">
      <c r="A76" s="1">
        <v>36500</v>
      </c>
      <c r="B76" s="1">
        <v>0</v>
      </c>
      <c r="C76" s="1">
        <v>0</v>
      </c>
      <c r="F76" s="1">
        <f t="shared" si="3"/>
        <v>3.65</v>
      </c>
      <c r="G76" s="1">
        <f>B76*$H$1/8.38/10^22*100</f>
        <v>0</v>
      </c>
      <c r="H76" s="1">
        <f t="shared" si="4"/>
        <v>0</v>
      </c>
      <c r="N76" s="1">
        <v>36500</v>
      </c>
      <c r="O76" s="1">
        <v>0</v>
      </c>
      <c r="P76" s="1">
        <v>0</v>
      </c>
      <c r="Q76" s="1">
        <f t="shared" si="5"/>
        <v>0</v>
      </c>
    </row>
    <row r="77" spans="1:17" x14ac:dyDescent="0.35">
      <c r="A77" s="1">
        <v>37000</v>
      </c>
      <c r="B77" s="1">
        <v>0</v>
      </c>
      <c r="C77" s="1">
        <v>0</v>
      </c>
      <c r="F77" s="1">
        <f t="shared" si="3"/>
        <v>3.7</v>
      </c>
      <c r="G77" s="1">
        <f>B77*$H$1/8.38/10^22*100</f>
        <v>0</v>
      </c>
      <c r="H77" s="1">
        <f t="shared" si="4"/>
        <v>0</v>
      </c>
      <c r="N77" s="1">
        <v>37000</v>
      </c>
      <c r="O77" s="1">
        <v>0</v>
      </c>
      <c r="P77" s="1">
        <v>0</v>
      </c>
      <c r="Q77" s="1">
        <f t="shared" si="5"/>
        <v>0</v>
      </c>
    </row>
    <row r="78" spans="1:17" x14ac:dyDescent="0.35">
      <c r="A78" s="1">
        <v>37500</v>
      </c>
      <c r="B78" s="1">
        <v>0</v>
      </c>
      <c r="C78" s="1">
        <v>0</v>
      </c>
      <c r="F78" s="1">
        <f t="shared" si="3"/>
        <v>3.75</v>
      </c>
      <c r="G78" s="1">
        <f>B78*$H$1/8.38/10^22*100</f>
        <v>0</v>
      </c>
      <c r="H78" s="1">
        <f t="shared" si="4"/>
        <v>0</v>
      </c>
      <c r="N78" s="1">
        <v>37500</v>
      </c>
      <c r="O78" s="1">
        <v>0</v>
      </c>
      <c r="P78" s="1">
        <v>0</v>
      </c>
      <c r="Q78" s="1">
        <f t="shared" si="5"/>
        <v>0</v>
      </c>
    </row>
    <row r="79" spans="1:17" x14ac:dyDescent="0.35">
      <c r="A79" s="1">
        <v>38000</v>
      </c>
      <c r="B79" s="1">
        <v>0</v>
      </c>
      <c r="C79" s="1">
        <v>0</v>
      </c>
      <c r="F79" s="1">
        <f t="shared" si="3"/>
        <v>3.8</v>
      </c>
      <c r="G79" s="1">
        <f>B79*$H$1/8.38/10^22*100</f>
        <v>0</v>
      </c>
      <c r="H79" s="1">
        <f t="shared" si="4"/>
        <v>0</v>
      </c>
      <c r="N79" s="1">
        <v>38000</v>
      </c>
      <c r="O79" s="1">
        <v>0</v>
      </c>
      <c r="P79" s="1">
        <v>0</v>
      </c>
      <c r="Q79" s="1">
        <f t="shared" si="5"/>
        <v>0</v>
      </c>
    </row>
    <row r="80" spans="1:17" x14ac:dyDescent="0.35">
      <c r="A80" s="1">
        <v>38500</v>
      </c>
      <c r="B80" s="1">
        <v>0</v>
      </c>
      <c r="C80" s="1">
        <v>0</v>
      </c>
      <c r="F80" s="1">
        <f t="shared" si="3"/>
        <v>3.85</v>
      </c>
      <c r="G80" s="1">
        <f>B80*$H$1/8.38/10^22*100</f>
        <v>0</v>
      </c>
      <c r="H80" s="1">
        <f t="shared" si="4"/>
        <v>0</v>
      </c>
      <c r="N80" s="1">
        <v>38500</v>
      </c>
      <c r="O80" s="1">
        <v>0</v>
      </c>
      <c r="P80" s="1">
        <v>0</v>
      </c>
      <c r="Q80" s="1">
        <f t="shared" si="5"/>
        <v>0</v>
      </c>
    </row>
    <row r="81" spans="1:17" x14ac:dyDescent="0.35">
      <c r="A81" s="1">
        <v>39000</v>
      </c>
      <c r="B81" s="1">
        <v>0</v>
      </c>
      <c r="C81" s="1">
        <v>0</v>
      </c>
      <c r="F81" s="1">
        <f t="shared" si="3"/>
        <v>3.9</v>
      </c>
      <c r="G81" s="1">
        <f>B81*$H$1/8.38/10^22*100</f>
        <v>0</v>
      </c>
      <c r="H81" s="1">
        <f t="shared" si="4"/>
        <v>0</v>
      </c>
      <c r="N81" s="1">
        <v>39000</v>
      </c>
      <c r="O81" s="1">
        <v>0</v>
      </c>
      <c r="P81" s="1">
        <v>0</v>
      </c>
      <c r="Q81" s="1">
        <f t="shared" si="5"/>
        <v>0</v>
      </c>
    </row>
    <row r="82" spans="1:17" x14ac:dyDescent="0.35">
      <c r="A82" s="1">
        <v>39500</v>
      </c>
      <c r="B82" s="1">
        <v>0</v>
      </c>
      <c r="C82" s="1">
        <v>0</v>
      </c>
      <c r="F82" s="1">
        <f t="shared" si="3"/>
        <v>3.95</v>
      </c>
      <c r="G82" s="1">
        <f>B82*$H$1/8.38/10^22*100</f>
        <v>0</v>
      </c>
      <c r="H82" s="1">
        <f t="shared" si="4"/>
        <v>0</v>
      </c>
      <c r="N82" s="1">
        <v>39500</v>
      </c>
      <c r="O82" s="1">
        <v>0</v>
      </c>
      <c r="P82" s="1">
        <v>0</v>
      </c>
      <c r="Q82" s="1">
        <f t="shared" si="5"/>
        <v>0</v>
      </c>
    </row>
    <row r="83" spans="1:17" x14ac:dyDescent="0.35">
      <c r="A83" s="1">
        <v>40000</v>
      </c>
      <c r="B83" s="1">
        <v>0</v>
      </c>
      <c r="C83" s="1">
        <v>0</v>
      </c>
      <c r="F83" s="1">
        <f t="shared" si="3"/>
        <v>4</v>
      </c>
      <c r="G83" s="1">
        <f>B83*$H$1/8.38/10^22*100</f>
        <v>0</v>
      </c>
      <c r="H83" s="1">
        <f t="shared" si="4"/>
        <v>0</v>
      </c>
      <c r="N83" s="1">
        <v>40000</v>
      </c>
      <c r="O83" s="1">
        <v>0</v>
      </c>
      <c r="P83" s="1">
        <v>0</v>
      </c>
      <c r="Q83" s="1">
        <f t="shared" si="5"/>
        <v>0</v>
      </c>
    </row>
    <row r="84" spans="1:17" x14ac:dyDescent="0.35">
      <c r="A84" s="1">
        <v>40500</v>
      </c>
      <c r="B84" s="1">
        <v>0</v>
      </c>
      <c r="C84" s="1">
        <v>0</v>
      </c>
      <c r="F84" s="1">
        <f t="shared" si="3"/>
        <v>4.05</v>
      </c>
      <c r="G84" s="1">
        <f>B84*$H$1/8.38/10^22*100</f>
        <v>0</v>
      </c>
      <c r="H84" s="1">
        <f t="shared" si="4"/>
        <v>0</v>
      </c>
      <c r="N84" s="1">
        <v>40500</v>
      </c>
      <c r="O84" s="1">
        <v>0</v>
      </c>
      <c r="P84" s="1">
        <v>0</v>
      </c>
      <c r="Q84" s="1">
        <f t="shared" si="5"/>
        <v>0</v>
      </c>
    </row>
    <row r="85" spans="1:17" x14ac:dyDescent="0.35">
      <c r="A85" s="1">
        <v>41000</v>
      </c>
      <c r="B85" s="1">
        <v>0</v>
      </c>
      <c r="C85" s="1">
        <v>0</v>
      </c>
      <c r="F85" s="1">
        <f t="shared" si="3"/>
        <v>4.0999999999999996</v>
      </c>
      <c r="G85" s="1">
        <f>B85*$H$1/8.38/10^22*100</f>
        <v>0</v>
      </c>
      <c r="H85" s="1">
        <f t="shared" si="4"/>
        <v>0</v>
      </c>
      <c r="N85" s="1">
        <v>41000</v>
      </c>
      <c r="O85" s="1">
        <v>0</v>
      </c>
      <c r="P85" s="1">
        <v>0</v>
      </c>
      <c r="Q85" s="1">
        <f t="shared" si="5"/>
        <v>0</v>
      </c>
    </row>
    <row r="86" spans="1:17" x14ac:dyDescent="0.35">
      <c r="A86" s="1">
        <v>41500</v>
      </c>
      <c r="B86" s="1">
        <v>0</v>
      </c>
      <c r="C86" s="1">
        <v>0</v>
      </c>
      <c r="F86" s="1">
        <f t="shared" si="3"/>
        <v>4.1500000000000004</v>
      </c>
      <c r="G86" s="1">
        <f>B86*$H$1/8.38/10^22*100</f>
        <v>0</v>
      </c>
      <c r="H86" s="1">
        <f t="shared" si="4"/>
        <v>0</v>
      </c>
      <c r="N86" s="1">
        <v>41500</v>
      </c>
      <c r="O86" s="1">
        <v>0</v>
      </c>
      <c r="P86" s="1">
        <v>0</v>
      </c>
      <c r="Q86" s="1">
        <f t="shared" si="5"/>
        <v>0</v>
      </c>
    </row>
    <row r="87" spans="1:17" x14ac:dyDescent="0.35">
      <c r="A87" s="1">
        <v>42000</v>
      </c>
      <c r="B87" s="1">
        <v>0</v>
      </c>
      <c r="C87" s="1">
        <v>0</v>
      </c>
      <c r="F87" s="1">
        <f t="shared" si="3"/>
        <v>4.2</v>
      </c>
      <c r="G87" s="1">
        <f>B87*$H$1/8.38/10^22*100</f>
        <v>0</v>
      </c>
      <c r="H87" s="1">
        <f t="shared" si="4"/>
        <v>0</v>
      </c>
      <c r="N87" s="1">
        <v>42000</v>
      </c>
      <c r="O87" s="1">
        <v>0</v>
      </c>
      <c r="P87" s="1">
        <v>0</v>
      </c>
      <c r="Q87" s="1">
        <f t="shared" si="5"/>
        <v>0</v>
      </c>
    </row>
    <row r="88" spans="1:17" x14ac:dyDescent="0.35">
      <c r="A88" s="1">
        <v>42500</v>
      </c>
      <c r="B88" s="1">
        <v>0</v>
      </c>
      <c r="C88" s="1">
        <v>0</v>
      </c>
      <c r="F88" s="1">
        <f t="shared" si="3"/>
        <v>4.25</v>
      </c>
      <c r="G88" s="1">
        <f>B88*$H$1/8.38/10^22*100</f>
        <v>0</v>
      </c>
      <c r="H88" s="1">
        <f t="shared" si="4"/>
        <v>0</v>
      </c>
      <c r="N88" s="1">
        <v>42500</v>
      </c>
      <c r="O88" s="1">
        <v>0</v>
      </c>
      <c r="P88" s="1">
        <v>0</v>
      </c>
      <c r="Q88" s="1">
        <f t="shared" si="5"/>
        <v>0</v>
      </c>
    </row>
    <row r="89" spans="1:17" x14ac:dyDescent="0.35">
      <c r="A89" s="1">
        <v>43000</v>
      </c>
      <c r="B89" s="1">
        <v>0</v>
      </c>
      <c r="C89" s="1">
        <v>0</v>
      </c>
      <c r="F89" s="1">
        <f t="shared" si="3"/>
        <v>4.3</v>
      </c>
      <c r="G89" s="1">
        <f>B89*$H$1/8.38/10^22*100</f>
        <v>0</v>
      </c>
      <c r="H89" s="1">
        <f t="shared" si="4"/>
        <v>0</v>
      </c>
      <c r="N89" s="1">
        <v>43000</v>
      </c>
      <c r="O89" s="1">
        <v>0</v>
      </c>
      <c r="P89" s="1">
        <v>0</v>
      </c>
      <c r="Q89" s="1">
        <f t="shared" si="5"/>
        <v>0</v>
      </c>
    </row>
    <row r="90" spans="1:17" x14ac:dyDescent="0.35">
      <c r="A90" s="1">
        <v>43500</v>
      </c>
      <c r="B90" s="1">
        <v>0</v>
      </c>
      <c r="C90" s="1">
        <v>0</v>
      </c>
      <c r="F90" s="1">
        <f t="shared" si="3"/>
        <v>4.3499999999999996</v>
      </c>
      <c r="G90" s="1">
        <f>B90*$H$1/8.38/10^22*100</f>
        <v>0</v>
      </c>
      <c r="H90" s="1">
        <f t="shared" si="4"/>
        <v>0</v>
      </c>
      <c r="N90" s="1">
        <v>43500</v>
      </c>
      <c r="O90" s="1">
        <v>0</v>
      </c>
      <c r="P90" s="1">
        <v>0</v>
      </c>
      <c r="Q90" s="1">
        <f t="shared" si="5"/>
        <v>0</v>
      </c>
    </row>
    <row r="91" spans="1:17" x14ac:dyDescent="0.35">
      <c r="A91" s="1">
        <v>44000</v>
      </c>
      <c r="B91" s="1">
        <v>0</v>
      </c>
      <c r="C91" s="1">
        <v>0</v>
      </c>
      <c r="F91" s="1">
        <f t="shared" si="3"/>
        <v>4.4000000000000004</v>
      </c>
      <c r="G91" s="1">
        <f>B91*$H$1/8.38/10^22*100</f>
        <v>0</v>
      </c>
      <c r="H91" s="1">
        <f t="shared" si="4"/>
        <v>0</v>
      </c>
      <c r="N91" s="1">
        <v>44000</v>
      </c>
      <c r="O91" s="1">
        <v>0</v>
      </c>
      <c r="P91" s="1">
        <v>0</v>
      </c>
      <c r="Q91" s="1">
        <f t="shared" si="5"/>
        <v>0</v>
      </c>
    </row>
    <row r="92" spans="1:17" x14ac:dyDescent="0.35">
      <c r="A92" s="1">
        <v>44500</v>
      </c>
      <c r="B92" s="1">
        <v>0</v>
      </c>
      <c r="C92" s="1">
        <v>0</v>
      </c>
      <c r="F92" s="1">
        <f t="shared" si="3"/>
        <v>4.45</v>
      </c>
      <c r="G92" s="1">
        <f>B92*$H$1/8.38/10^22*100</f>
        <v>0</v>
      </c>
      <c r="H92" s="1">
        <f t="shared" si="4"/>
        <v>0</v>
      </c>
      <c r="N92" s="1">
        <v>44500</v>
      </c>
      <c r="O92" s="1">
        <v>0</v>
      </c>
      <c r="P92" s="1">
        <v>0</v>
      </c>
      <c r="Q92" s="1">
        <f t="shared" si="5"/>
        <v>0</v>
      </c>
    </row>
    <row r="93" spans="1:17" x14ac:dyDescent="0.35">
      <c r="A93" s="1">
        <v>45000</v>
      </c>
      <c r="B93" s="1">
        <v>0</v>
      </c>
      <c r="C93" s="1">
        <v>0</v>
      </c>
      <c r="F93" s="1">
        <f t="shared" si="3"/>
        <v>4.5</v>
      </c>
      <c r="G93" s="1">
        <f>B93*$H$1/8.38/10^22*100</f>
        <v>0</v>
      </c>
      <c r="H93" s="1">
        <f t="shared" si="4"/>
        <v>0</v>
      </c>
      <c r="N93" s="1">
        <v>45000</v>
      </c>
      <c r="O93" s="1">
        <v>0</v>
      </c>
      <c r="P93" s="1">
        <v>0</v>
      </c>
      <c r="Q93" s="1">
        <f t="shared" si="5"/>
        <v>0</v>
      </c>
    </row>
    <row r="94" spans="1:17" x14ac:dyDescent="0.35">
      <c r="A94" s="1">
        <v>45500</v>
      </c>
      <c r="B94" s="1">
        <v>0</v>
      </c>
      <c r="C94" s="1">
        <v>0</v>
      </c>
      <c r="F94" s="1">
        <f t="shared" si="3"/>
        <v>4.55</v>
      </c>
      <c r="G94" s="1">
        <f>B94*$H$1/8.38/10^22*100</f>
        <v>0</v>
      </c>
      <c r="H94" s="1">
        <f t="shared" si="4"/>
        <v>0</v>
      </c>
      <c r="N94" s="1">
        <v>45500</v>
      </c>
      <c r="O94" s="1">
        <v>0</v>
      </c>
      <c r="P94" s="1">
        <v>0</v>
      </c>
      <c r="Q94" s="1">
        <f t="shared" si="5"/>
        <v>0</v>
      </c>
    </row>
    <row r="95" spans="1:17" x14ac:dyDescent="0.35">
      <c r="A95" s="1">
        <v>46000</v>
      </c>
      <c r="B95" s="1">
        <v>0</v>
      </c>
      <c r="C95" s="1">
        <v>0</v>
      </c>
      <c r="F95" s="1">
        <f t="shared" si="3"/>
        <v>4.5999999999999996</v>
      </c>
      <c r="G95" s="1">
        <f>B95*$H$1/8.38/10^22*100</f>
        <v>0</v>
      </c>
      <c r="H95" s="1">
        <f t="shared" si="4"/>
        <v>0</v>
      </c>
      <c r="N95" s="1">
        <v>46000</v>
      </c>
      <c r="O95" s="1">
        <v>0</v>
      </c>
      <c r="P95" s="1">
        <v>0</v>
      </c>
      <c r="Q95" s="1">
        <f t="shared" si="5"/>
        <v>0</v>
      </c>
    </row>
    <row r="96" spans="1:17" x14ac:dyDescent="0.35">
      <c r="A96" s="1">
        <v>46500</v>
      </c>
      <c r="B96" s="1">
        <v>0</v>
      </c>
      <c r="C96" s="1">
        <v>0</v>
      </c>
      <c r="F96" s="1">
        <f t="shared" si="3"/>
        <v>4.6500000000000004</v>
      </c>
      <c r="G96" s="1">
        <f>B96*$H$1/8.38/10^22*100</f>
        <v>0</v>
      </c>
      <c r="H96" s="1">
        <f t="shared" si="4"/>
        <v>0</v>
      </c>
      <c r="N96" s="1">
        <v>46500</v>
      </c>
      <c r="O96" s="1">
        <v>0</v>
      </c>
      <c r="P96" s="1">
        <v>0</v>
      </c>
      <c r="Q96" s="1">
        <f t="shared" si="5"/>
        <v>0</v>
      </c>
    </row>
    <row r="97" spans="1:17" x14ac:dyDescent="0.35">
      <c r="A97" s="1">
        <v>47000</v>
      </c>
      <c r="B97" s="1">
        <v>0</v>
      </c>
      <c r="C97" s="1">
        <v>0</v>
      </c>
      <c r="F97" s="1">
        <f t="shared" si="3"/>
        <v>4.7</v>
      </c>
      <c r="G97" s="1">
        <f>B97*$H$1/8.38/10^22*100</f>
        <v>0</v>
      </c>
      <c r="H97" s="1">
        <f t="shared" si="4"/>
        <v>0</v>
      </c>
      <c r="N97" s="1">
        <v>47000</v>
      </c>
      <c r="O97" s="1">
        <v>0</v>
      </c>
      <c r="P97" s="1">
        <v>0</v>
      </c>
      <c r="Q97" s="1">
        <f t="shared" si="5"/>
        <v>0</v>
      </c>
    </row>
    <row r="98" spans="1:17" x14ac:dyDescent="0.35">
      <c r="A98" s="1">
        <v>47500</v>
      </c>
      <c r="B98" s="1">
        <v>0</v>
      </c>
      <c r="C98" s="1">
        <v>0</v>
      </c>
      <c r="F98" s="1">
        <f t="shared" si="3"/>
        <v>4.75</v>
      </c>
      <c r="G98" s="1">
        <f>B98*$H$1/8.38/10^22*100</f>
        <v>0</v>
      </c>
      <c r="H98" s="1">
        <f t="shared" si="4"/>
        <v>0</v>
      </c>
      <c r="N98" s="1">
        <v>47500</v>
      </c>
      <c r="O98" s="1">
        <v>0</v>
      </c>
      <c r="P98" s="1">
        <v>0</v>
      </c>
      <c r="Q98" s="1">
        <f t="shared" si="5"/>
        <v>0</v>
      </c>
    </row>
    <row r="99" spans="1:17" x14ac:dyDescent="0.35">
      <c r="A99" s="1">
        <v>48000</v>
      </c>
      <c r="B99" s="1">
        <v>0</v>
      </c>
      <c r="C99" s="1">
        <v>0</v>
      </c>
      <c r="F99" s="1">
        <f t="shared" si="3"/>
        <v>4.8</v>
      </c>
      <c r="G99" s="1">
        <f>B99*$H$1/8.38/10^22*100</f>
        <v>0</v>
      </c>
      <c r="H99" s="1">
        <f t="shared" si="4"/>
        <v>0</v>
      </c>
      <c r="N99" s="1">
        <v>48000</v>
      </c>
      <c r="O99" s="1">
        <v>0</v>
      </c>
      <c r="P99" s="1">
        <v>0</v>
      </c>
      <c r="Q99" s="1">
        <f t="shared" si="5"/>
        <v>0</v>
      </c>
    </row>
    <row r="100" spans="1:17" x14ac:dyDescent="0.35">
      <c r="A100" s="1">
        <v>48500</v>
      </c>
      <c r="B100" s="1">
        <v>0</v>
      </c>
      <c r="C100" s="1">
        <v>0</v>
      </c>
      <c r="F100" s="1">
        <f t="shared" si="3"/>
        <v>4.8499999999999996</v>
      </c>
      <c r="G100" s="1">
        <f>B100*$H$1/8.38/10^22*100</f>
        <v>0</v>
      </c>
      <c r="H100" s="1">
        <f t="shared" si="4"/>
        <v>0</v>
      </c>
      <c r="N100" s="1">
        <v>48500</v>
      </c>
      <c r="O100" s="1">
        <v>0</v>
      </c>
      <c r="P100" s="1">
        <v>0</v>
      </c>
      <c r="Q100" s="1">
        <f t="shared" si="5"/>
        <v>0</v>
      </c>
    </row>
    <row r="101" spans="1:17" x14ac:dyDescent="0.35">
      <c r="A101" s="1">
        <v>49000</v>
      </c>
      <c r="B101" s="1">
        <v>0</v>
      </c>
      <c r="C101" s="1">
        <v>0</v>
      </c>
      <c r="F101" s="1">
        <f t="shared" si="3"/>
        <v>4.9000000000000004</v>
      </c>
      <c r="G101" s="1">
        <f>B101*$H$1/8.38/10^22*100</f>
        <v>0</v>
      </c>
      <c r="H101" s="1">
        <f t="shared" si="4"/>
        <v>0</v>
      </c>
      <c r="N101" s="1">
        <v>49000</v>
      </c>
      <c r="O101" s="1">
        <v>0</v>
      </c>
      <c r="P101" s="1">
        <v>0</v>
      </c>
      <c r="Q101" s="1">
        <f t="shared" si="5"/>
        <v>0</v>
      </c>
    </row>
    <row r="102" spans="1:17" x14ac:dyDescent="0.35">
      <c r="A102" s="1">
        <v>49500</v>
      </c>
      <c r="B102" s="1">
        <v>0</v>
      </c>
      <c r="C102" s="1">
        <v>0</v>
      </c>
      <c r="F102" s="1">
        <f t="shared" si="3"/>
        <v>4.95</v>
      </c>
      <c r="G102" s="1">
        <f>B102*$H$1/8.38/10^22*100</f>
        <v>0</v>
      </c>
      <c r="H102" s="1">
        <f t="shared" si="4"/>
        <v>0</v>
      </c>
      <c r="N102" s="1">
        <v>49500</v>
      </c>
      <c r="O102" s="1">
        <v>0</v>
      </c>
      <c r="P102" s="1">
        <v>0</v>
      </c>
      <c r="Q102" s="1">
        <f t="shared" si="5"/>
        <v>0</v>
      </c>
    </row>
    <row r="103" spans="1:17" x14ac:dyDescent="0.35">
      <c r="A103" s="1">
        <v>50000</v>
      </c>
      <c r="B103" s="1">
        <v>0</v>
      </c>
      <c r="C103" s="1">
        <v>0</v>
      </c>
      <c r="F103" s="1">
        <f t="shared" si="3"/>
        <v>5</v>
      </c>
      <c r="G103" s="1">
        <f>B103*$H$1/8.38/10^22*100</f>
        <v>0</v>
      </c>
      <c r="H103" s="1">
        <f t="shared" si="4"/>
        <v>0</v>
      </c>
      <c r="N103" s="1">
        <v>50000</v>
      </c>
      <c r="O103" s="1">
        <v>0</v>
      </c>
      <c r="P103" s="1">
        <v>0</v>
      </c>
      <c r="Q103" s="1">
        <f t="shared" si="5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4789A-5151-44E4-8FFE-11DB06B67E54}">
  <dimension ref="A1:C104"/>
  <sheetViews>
    <sheetView workbookViewId="0">
      <selection sqref="A1:C104857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1</v>
      </c>
    </row>
    <row r="2" spans="1:3" x14ac:dyDescent="0.35">
      <c r="A2" t="s">
        <v>2</v>
      </c>
      <c r="B2" t="s">
        <v>3</v>
      </c>
      <c r="C2" t="s">
        <v>3</v>
      </c>
    </row>
    <row r="3" spans="1:3" x14ac:dyDescent="0.35">
      <c r="A3" t="s">
        <v>4</v>
      </c>
      <c r="B3" t="s">
        <v>5</v>
      </c>
      <c r="C3" t="s">
        <v>6</v>
      </c>
    </row>
    <row r="4" spans="1:3" x14ac:dyDescent="0.35">
      <c r="A4" t="s">
        <v>7</v>
      </c>
      <c r="B4" t="s">
        <v>7</v>
      </c>
      <c r="C4" t="s">
        <v>8</v>
      </c>
    </row>
    <row r="5" spans="1:3" x14ac:dyDescent="0.35">
      <c r="A5" s="1">
        <v>500.01</v>
      </c>
      <c r="B5" s="1">
        <v>1.14538E-2</v>
      </c>
      <c r="C5" s="1">
        <v>0.122948</v>
      </c>
    </row>
    <row r="6" spans="1:3" x14ac:dyDescent="0.35">
      <c r="A6" s="1">
        <v>1000.01</v>
      </c>
      <c r="B6" s="1">
        <v>1.2219499999999999E-2</v>
      </c>
      <c r="C6" s="1">
        <v>0.14095199999999999</v>
      </c>
    </row>
    <row r="7" spans="1:3" x14ac:dyDescent="0.35">
      <c r="A7" s="1">
        <v>1500.01</v>
      </c>
      <c r="B7" s="1">
        <v>1.25551E-2</v>
      </c>
      <c r="C7" s="1">
        <v>0.13445299999999999</v>
      </c>
    </row>
    <row r="8" spans="1:3" x14ac:dyDescent="0.35">
      <c r="A8" s="1">
        <v>2000.01</v>
      </c>
      <c r="B8" s="1">
        <v>1.28719E-2</v>
      </c>
      <c r="C8" s="1">
        <v>0.14319000000000001</v>
      </c>
    </row>
    <row r="9" spans="1:3" x14ac:dyDescent="0.35">
      <c r="A9" s="1">
        <v>2500.0100000000002</v>
      </c>
      <c r="B9" s="1">
        <v>1.3383300000000001E-2</v>
      </c>
      <c r="C9" s="1">
        <v>0.16402900000000001</v>
      </c>
    </row>
    <row r="10" spans="1:3" x14ac:dyDescent="0.35">
      <c r="A10" s="1">
        <v>3000.01</v>
      </c>
      <c r="B10" s="1">
        <v>1.4005E-2</v>
      </c>
      <c r="C10" s="1">
        <v>0.16239100000000001</v>
      </c>
    </row>
    <row r="11" spans="1:3" x14ac:dyDescent="0.35">
      <c r="A11" s="1">
        <v>3500.01</v>
      </c>
      <c r="B11" s="1">
        <v>1.4090399999999999E-2</v>
      </c>
      <c r="C11" s="1">
        <v>0.16619</v>
      </c>
    </row>
    <row r="12" spans="1:3" x14ac:dyDescent="0.35">
      <c r="A12" s="1">
        <v>4000.01</v>
      </c>
      <c r="B12" s="1">
        <v>1.4839099999999999E-2</v>
      </c>
      <c r="C12" s="1">
        <v>0.17993000000000001</v>
      </c>
    </row>
    <row r="13" spans="1:3" x14ac:dyDescent="0.35">
      <c r="A13" s="1">
        <v>4500.01</v>
      </c>
      <c r="B13" s="1">
        <v>1.5292E-2</v>
      </c>
      <c r="C13" s="1">
        <v>0.17088700000000001</v>
      </c>
    </row>
    <row r="14" spans="1:3" x14ac:dyDescent="0.35">
      <c r="A14" s="1">
        <v>5000.01</v>
      </c>
      <c r="B14" s="1">
        <v>1.5786499999999998E-2</v>
      </c>
      <c r="C14" s="1">
        <v>0.20796100000000001</v>
      </c>
    </row>
    <row r="15" spans="1:3" x14ac:dyDescent="0.35">
      <c r="A15" s="1">
        <v>5500.01</v>
      </c>
      <c r="B15" s="1">
        <v>1.5793399999999999E-2</v>
      </c>
      <c r="C15" s="1">
        <v>0.18579300000000001</v>
      </c>
    </row>
    <row r="16" spans="1:3" x14ac:dyDescent="0.35">
      <c r="A16" s="1">
        <v>6000.01</v>
      </c>
      <c r="B16" s="1">
        <v>1.6613699999999999E-2</v>
      </c>
      <c r="C16" s="1">
        <v>0.20982400000000001</v>
      </c>
    </row>
    <row r="17" spans="1:3" x14ac:dyDescent="0.35">
      <c r="A17" s="1">
        <v>6500.01</v>
      </c>
      <c r="B17" s="1">
        <v>1.7245300000000002E-2</v>
      </c>
      <c r="C17" s="1">
        <v>0.21482000000000001</v>
      </c>
    </row>
    <row r="18" spans="1:3" x14ac:dyDescent="0.35">
      <c r="A18" s="1">
        <v>7000.01</v>
      </c>
      <c r="B18" s="1">
        <v>1.82959E-2</v>
      </c>
      <c r="C18" s="1">
        <v>0.23902899999999999</v>
      </c>
    </row>
    <row r="19" spans="1:3" x14ac:dyDescent="0.35">
      <c r="A19" s="1">
        <v>7500.01</v>
      </c>
      <c r="B19" s="1">
        <v>1.8723900000000002E-2</v>
      </c>
      <c r="C19" s="1">
        <v>0.23694999999999999</v>
      </c>
    </row>
    <row r="20" spans="1:3" x14ac:dyDescent="0.35">
      <c r="A20" s="1">
        <v>8000.01</v>
      </c>
      <c r="B20" s="1">
        <v>1.9597799999999999E-2</v>
      </c>
      <c r="C20" s="1">
        <v>0.25544699999999998</v>
      </c>
    </row>
    <row r="21" spans="1:3" x14ac:dyDescent="0.35">
      <c r="A21" s="1">
        <v>8500.01</v>
      </c>
      <c r="B21" s="1">
        <v>2.0258200000000001E-2</v>
      </c>
      <c r="C21" s="1">
        <v>0.30598900000000001</v>
      </c>
    </row>
    <row r="22" spans="1:3" x14ac:dyDescent="0.35">
      <c r="A22" s="1">
        <v>9000.01</v>
      </c>
      <c r="B22" s="1">
        <v>2.0926500000000001E-2</v>
      </c>
      <c r="C22" s="1">
        <v>0.27499899999999999</v>
      </c>
    </row>
    <row r="23" spans="1:3" x14ac:dyDescent="0.35">
      <c r="A23" s="1">
        <v>9500.01</v>
      </c>
      <c r="B23" s="1">
        <v>2.1886800000000001E-2</v>
      </c>
      <c r="C23" s="1">
        <v>0.30871700000000002</v>
      </c>
    </row>
    <row r="24" spans="1:3" x14ac:dyDescent="0.35">
      <c r="A24" s="1">
        <v>10000</v>
      </c>
      <c r="B24" s="1">
        <v>2.31092E-2</v>
      </c>
      <c r="C24" s="1">
        <v>0.33118999999999998</v>
      </c>
    </row>
    <row r="25" spans="1:3" x14ac:dyDescent="0.35">
      <c r="A25" s="1">
        <v>10500</v>
      </c>
      <c r="B25" s="1">
        <v>2.3888800000000002E-2</v>
      </c>
      <c r="C25" s="1">
        <v>0.349804</v>
      </c>
    </row>
    <row r="26" spans="1:3" x14ac:dyDescent="0.35">
      <c r="A26" s="1">
        <v>11000</v>
      </c>
      <c r="B26" s="1">
        <v>2.4797400000000001E-2</v>
      </c>
      <c r="C26" s="1">
        <v>0.34146500000000002</v>
      </c>
    </row>
    <row r="27" spans="1:3" x14ac:dyDescent="0.35">
      <c r="A27" s="1">
        <v>11500</v>
      </c>
      <c r="B27" s="1">
        <v>2.5565999999999998E-2</v>
      </c>
      <c r="C27" s="1">
        <v>0.38258700000000001</v>
      </c>
    </row>
    <row r="28" spans="1:3" x14ac:dyDescent="0.35">
      <c r="A28" s="1">
        <v>12000</v>
      </c>
      <c r="B28" s="1">
        <v>2.62949E-2</v>
      </c>
      <c r="C28" s="1">
        <v>0.40101999999999999</v>
      </c>
    </row>
    <row r="29" spans="1:3" x14ac:dyDescent="0.35">
      <c r="A29" s="1">
        <v>12500</v>
      </c>
      <c r="B29" s="1">
        <v>2.7954300000000001E-2</v>
      </c>
      <c r="C29" s="1">
        <v>0.46890100000000001</v>
      </c>
    </row>
    <row r="30" spans="1:3" x14ac:dyDescent="0.35">
      <c r="A30" s="1">
        <v>13000</v>
      </c>
      <c r="B30" s="1">
        <v>2.9066499999999999E-2</v>
      </c>
      <c r="C30" s="1">
        <v>0.48572599999999999</v>
      </c>
    </row>
    <row r="31" spans="1:3" x14ac:dyDescent="0.35">
      <c r="A31" s="1">
        <v>13500</v>
      </c>
      <c r="B31" s="1">
        <v>2.9758699999999999E-2</v>
      </c>
      <c r="C31" s="1">
        <v>0.55922000000000005</v>
      </c>
    </row>
    <row r="32" spans="1:3" x14ac:dyDescent="0.35">
      <c r="A32" s="1">
        <v>14000</v>
      </c>
      <c r="B32" s="1">
        <v>3.0003999999999999E-2</v>
      </c>
      <c r="C32" s="1">
        <v>0.55522300000000002</v>
      </c>
    </row>
    <row r="33" spans="1:3" x14ac:dyDescent="0.35">
      <c r="A33" s="1">
        <v>14500</v>
      </c>
      <c r="B33" s="1">
        <v>3.1981099999999998E-2</v>
      </c>
      <c r="C33" s="1">
        <v>0.60551200000000005</v>
      </c>
    </row>
    <row r="34" spans="1:3" x14ac:dyDescent="0.35">
      <c r="A34" s="1">
        <v>15000</v>
      </c>
      <c r="B34" s="1">
        <v>3.3831199999999999E-2</v>
      </c>
      <c r="C34" s="1">
        <v>0.66028299999999995</v>
      </c>
    </row>
    <row r="35" spans="1:3" x14ac:dyDescent="0.35">
      <c r="A35" s="1">
        <v>15500</v>
      </c>
      <c r="B35" s="1">
        <v>3.6639499999999998E-2</v>
      </c>
      <c r="C35" s="1">
        <v>0.72794199999999998</v>
      </c>
    </row>
    <row r="36" spans="1:3" x14ac:dyDescent="0.35">
      <c r="A36" s="1">
        <v>16000</v>
      </c>
      <c r="B36" s="1">
        <v>3.93774E-2</v>
      </c>
      <c r="C36" s="1">
        <v>0.769123</v>
      </c>
    </row>
    <row r="37" spans="1:3" x14ac:dyDescent="0.35">
      <c r="A37" s="1">
        <v>16500</v>
      </c>
      <c r="B37" s="1">
        <v>3.9732900000000002E-2</v>
      </c>
      <c r="C37" s="1">
        <v>0.77327299999999999</v>
      </c>
    </row>
    <row r="38" spans="1:3" x14ac:dyDescent="0.35">
      <c r="A38" s="1">
        <v>17000</v>
      </c>
      <c r="B38" s="1">
        <v>4.05055E-2</v>
      </c>
      <c r="C38" s="1">
        <v>0.79422300000000001</v>
      </c>
    </row>
    <row r="39" spans="1:3" x14ac:dyDescent="0.35">
      <c r="A39" s="1">
        <v>17500</v>
      </c>
      <c r="B39" s="1">
        <v>4.06018E-2</v>
      </c>
      <c r="C39" s="1">
        <v>0.78053799999999995</v>
      </c>
    </row>
    <row r="40" spans="1:3" x14ac:dyDescent="0.35">
      <c r="A40" s="1">
        <v>18000</v>
      </c>
      <c r="B40" s="1">
        <v>3.9158900000000003E-2</v>
      </c>
      <c r="C40" s="1">
        <v>0.72885</v>
      </c>
    </row>
    <row r="41" spans="1:3" x14ac:dyDescent="0.35">
      <c r="A41" s="1">
        <v>18500</v>
      </c>
      <c r="B41" s="1">
        <v>3.8207499999999998E-2</v>
      </c>
      <c r="C41" s="1">
        <v>0.72770599999999996</v>
      </c>
    </row>
    <row r="42" spans="1:3" x14ac:dyDescent="0.35">
      <c r="A42" s="1">
        <v>19000</v>
      </c>
      <c r="B42" s="1">
        <v>3.5458799999999999E-2</v>
      </c>
      <c r="C42" s="1">
        <v>0.62816399999999994</v>
      </c>
    </row>
    <row r="43" spans="1:3" x14ac:dyDescent="0.35">
      <c r="A43" s="1">
        <v>19500</v>
      </c>
      <c r="B43" s="1">
        <v>2.9102300000000001E-2</v>
      </c>
      <c r="C43" s="1">
        <v>0.54085899999999998</v>
      </c>
    </row>
    <row r="44" spans="1:3" x14ac:dyDescent="0.35">
      <c r="A44" s="1">
        <v>20000</v>
      </c>
      <c r="B44" s="1">
        <v>2.3179700000000001E-2</v>
      </c>
      <c r="C44" s="1">
        <v>0.38716400000000001</v>
      </c>
    </row>
    <row r="45" spans="1:3" x14ac:dyDescent="0.35">
      <c r="A45" s="1">
        <v>20500</v>
      </c>
      <c r="B45" s="1">
        <v>1.71877E-2</v>
      </c>
      <c r="C45" s="1">
        <v>0.27643899999999999</v>
      </c>
    </row>
    <row r="46" spans="1:3" x14ac:dyDescent="0.35">
      <c r="A46" s="1">
        <v>21000</v>
      </c>
      <c r="B46" s="1">
        <v>1.02214E-2</v>
      </c>
      <c r="C46" s="1">
        <v>0.16627400000000001</v>
      </c>
    </row>
    <row r="47" spans="1:3" x14ac:dyDescent="0.35">
      <c r="A47" s="1">
        <v>21500</v>
      </c>
      <c r="B47" s="1">
        <v>6.6564099999999998E-3</v>
      </c>
      <c r="C47" s="1">
        <v>0.104537</v>
      </c>
    </row>
    <row r="48" spans="1:3" x14ac:dyDescent="0.35">
      <c r="A48" s="1">
        <v>22000</v>
      </c>
      <c r="B48" s="1">
        <v>3.2204600000000001E-3</v>
      </c>
      <c r="C48" s="1">
        <v>4.9440600000000001E-2</v>
      </c>
    </row>
    <row r="49" spans="1:3" x14ac:dyDescent="0.35">
      <c r="A49" s="1">
        <v>22500</v>
      </c>
      <c r="B49" s="1">
        <v>1.2432999999999999E-3</v>
      </c>
      <c r="C49" s="1">
        <v>1.69342E-2</v>
      </c>
    </row>
    <row r="50" spans="1:3" x14ac:dyDescent="0.35">
      <c r="A50" s="1">
        <v>23000</v>
      </c>
      <c r="B50" s="1">
        <v>3.4955300000000001E-4</v>
      </c>
      <c r="C50" s="1">
        <v>5.6164700000000001E-3</v>
      </c>
    </row>
    <row r="51" spans="1:3" x14ac:dyDescent="0.35">
      <c r="A51" s="1">
        <v>23500</v>
      </c>
      <c r="B51" s="1">
        <v>0</v>
      </c>
      <c r="C51" s="1">
        <v>0</v>
      </c>
    </row>
    <row r="52" spans="1:3" x14ac:dyDescent="0.35">
      <c r="A52" s="1">
        <v>24000</v>
      </c>
      <c r="B52" s="1">
        <v>0</v>
      </c>
      <c r="C52" s="1">
        <v>0</v>
      </c>
    </row>
    <row r="53" spans="1:3" x14ac:dyDescent="0.35">
      <c r="A53" s="1">
        <v>24500</v>
      </c>
      <c r="B53" s="1">
        <v>0</v>
      </c>
      <c r="C53" s="1">
        <v>0</v>
      </c>
    </row>
    <row r="54" spans="1:3" x14ac:dyDescent="0.35">
      <c r="A54" s="1">
        <v>25000</v>
      </c>
      <c r="B54" s="1">
        <v>0</v>
      </c>
      <c r="C54" s="1">
        <v>0</v>
      </c>
    </row>
    <row r="55" spans="1:3" x14ac:dyDescent="0.35">
      <c r="A55" s="1">
        <v>25500</v>
      </c>
      <c r="B55" s="1">
        <v>0</v>
      </c>
      <c r="C55" s="1">
        <v>0</v>
      </c>
    </row>
    <row r="56" spans="1:3" x14ac:dyDescent="0.35">
      <c r="A56" s="1">
        <v>26000</v>
      </c>
      <c r="B56" s="1">
        <v>0</v>
      </c>
      <c r="C56" s="1">
        <v>0</v>
      </c>
    </row>
    <row r="57" spans="1:3" x14ac:dyDescent="0.35">
      <c r="A57" s="1">
        <v>26500</v>
      </c>
      <c r="B57" s="1">
        <v>0</v>
      </c>
      <c r="C57" s="1">
        <v>0</v>
      </c>
    </row>
    <row r="58" spans="1:3" x14ac:dyDescent="0.35">
      <c r="A58" s="1">
        <v>27000</v>
      </c>
      <c r="B58" s="1">
        <v>0</v>
      </c>
      <c r="C58" s="1">
        <v>0</v>
      </c>
    </row>
    <row r="59" spans="1:3" x14ac:dyDescent="0.35">
      <c r="A59" s="1">
        <v>27500</v>
      </c>
      <c r="B59" s="1">
        <v>0</v>
      </c>
      <c r="C59" s="1">
        <v>0</v>
      </c>
    </row>
    <row r="60" spans="1:3" x14ac:dyDescent="0.35">
      <c r="A60" s="1">
        <v>28000</v>
      </c>
      <c r="B60" s="1">
        <v>0</v>
      </c>
      <c r="C60" s="1">
        <v>0</v>
      </c>
    </row>
    <row r="61" spans="1:3" x14ac:dyDescent="0.35">
      <c r="A61" s="1">
        <v>28500</v>
      </c>
      <c r="B61" s="1">
        <v>0</v>
      </c>
      <c r="C61" s="1">
        <v>0</v>
      </c>
    </row>
    <row r="62" spans="1:3" x14ac:dyDescent="0.35">
      <c r="A62" s="1">
        <v>29000</v>
      </c>
      <c r="B62" s="1">
        <v>0</v>
      </c>
      <c r="C62" s="1">
        <v>0</v>
      </c>
    </row>
    <row r="63" spans="1:3" x14ac:dyDescent="0.35">
      <c r="A63" s="1">
        <v>29500</v>
      </c>
      <c r="B63" s="1">
        <v>0</v>
      </c>
      <c r="C63" s="1">
        <v>0</v>
      </c>
    </row>
    <row r="64" spans="1:3" x14ac:dyDescent="0.35">
      <c r="A64" s="1">
        <v>30000</v>
      </c>
      <c r="B64" s="1">
        <v>0</v>
      </c>
      <c r="C64" s="1">
        <v>0</v>
      </c>
    </row>
    <row r="65" spans="1:3" x14ac:dyDescent="0.35">
      <c r="A65" s="1">
        <v>30500</v>
      </c>
      <c r="B65" s="1">
        <v>0</v>
      </c>
      <c r="C65" s="1">
        <v>0</v>
      </c>
    </row>
    <row r="66" spans="1:3" x14ac:dyDescent="0.35">
      <c r="A66" s="1">
        <v>31000</v>
      </c>
      <c r="B66" s="1">
        <v>0</v>
      </c>
      <c r="C66" s="1">
        <v>0</v>
      </c>
    </row>
    <row r="67" spans="1:3" x14ac:dyDescent="0.35">
      <c r="A67" s="1">
        <v>31500</v>
      </c>
      <c r="B67" s="1">
        <v>0</v>
      </c>
      <c r="C67" s="1">
        <v>0</v>
      </c>
    </row>
    <row r="68" spans="1:3" x14ac:dyDescent="0.35">
      <c r="A68" s="1">
        <v>32000</v>
      </c>
      <c r="B68" s="1">
        <v>0</v>
      </c>
      <c r="C68" s="1">
        <v>0</v>
      </c>
    </row>
    <row r="69" spans="1:3" x14ac:dyDescent="0.35">
      <c r="A69" s="1">
        <v>32500</v>
      </c>
      <c r="B69" s="1">
        <v>0</v>
      </c>
      <c r="C69" s="1">
        <v>0</v>
      </c>
    </row>
    <row r="70" spans="1:3" x14ac:dyDescent="0.35">
      <c r="A70" s="1">
        <v>33000</v>
      </c>
      <c r="B70" s="1">
        <v>0</v>
      </c>
      <c r="C70" s="1">
        <v>0</v>
      </c>
    </row>
    <row r="71" spans="1:3" x14ac:dyDescent="0.35">
      <c r="A71" s="1">
        <v>33500</v>
      </c>
      <c r="B71" s="1">
        <v>0</v>
      </c>
      <c r="C71" s="1">
        <v>0</v>
      </c>
    </row>
    <row r="72" spans="1:3" x14ac:dyDescent="0.35">
      <c r="A72" s="1">
        <v>34000</v>
      </c>
      <c r="B72" s="1">
        <v>0</v>
      </c>
      <c r="C72" s="1">
        <v>0</v>
      </c>
    </row>
    <row r="73" spans="1:3" x14ac:dyDescent="0.35">
      <c r="A73" s="1">
        <v>34500</v>
      </c>
      <c r="B73" s="1">
        <v>0</v>
      </c>
      <c r="C73" s="1">
        <v>0</v>
      </c>
    </row>
    <row r="74" spans="1:3" x14ac:dyDescent="0.35">
      <c r="A74" s="1">
        <v>35000</v>
      </c>
      <c r="B74" s="1">
        <v>0</v>
      </c>
      <c r="C74" s="1">
        <v>0</v>
      </c>
    </row>
    <row r="75" spans="1:3" x14ac:dyDescent="0.35">
      <c r="A75" s="1">
        <v>35500</v>
      </c>
      <c r="B75" s="1">
        <v>0</v>
      </c>
      <c r="C75" s="1">
        <v>0</v>
      </c>
    </row>
    <row r="76" spans="1:3" x14ac:dyDescent="0.35">
      <c r="A76" s="1">
        <v>36000</v>
      </c>
      <c r="B76" s="1">
        <v>0</v>
      </c>
      <c r="C76" s="1">
        <v>0</v>
      </c>
    </row>
    <row r="77" spans="1:3" x14ac:dyDescent="0.35">
      <c r="A77" s="1">
        <v>36500</v>
      </c>
      <c r="B77" s="1">
        <v>0</v>
      </c>
      <c r="C77" s="1">
        <v>0</v>
      </c>
    </row>
    <row r="78" spans="1:3" x14ac:dyDescent="0.35">
      <c r="A78" s="1">
        <v>37000</v>
      </c>
      <c r="B78" s="1">
        <v>0</v>
      </c>
      <c r="C78" s="1">
        <v>0</v>
      </c>
    </row>
    <row r="79" spans="1:3" x14ac:dyDescent="0.35">
      <c r="A79" s="1">
        <v>37500</v>
      </c>
      <c r="B79" s="1">
        <v>0</v>
      </c>
      <c r="C79" s="1">
        <v>0</v>
      </c>
    </row>
    <row r="80" spans="1:3" x14ac:dyDescent="0.35">
      <c r="A80" s="1">
        <v>38000</v>
      </c>
      <c r="B80" s="1">
        <v>0</v>
      </c>
      <c r="C80" s="1">
        <v>0</v>
      </c>
    </row>
    <row r="81" spans="1:3" x14ac:dyDescent="0.35">
      <c r="A81" s="1">
        <v>38500</v>
      </c>
      <c r="B81" s="1">
        <v>0</v>
      </c>
      <c r="C81" s="1">
        <v>0</v>
      </c>
    </row>
    <row r="82" spans="1:3" x14ac:dyDescent="0.35">
      <c r="A82" s="1">
        <v>39000</v>
      </c>
      <c r="B82" s="1">
        <v>0</v>
      </c>
      <c r="C82" s="1">
        <v>0</v>
      </c>
    </row>
    <row r="83" spans="1:3" x14ac:dyDescent="0.35">
      <c r="A83" s="1">
        <v>39500</v>
      </c>
      <c r="B83" s="1">
        <v>0</v>
      </c>
      <c r="C83" s="1">
        <v>0</v>
      </c>
    </row>
    <row r="84" spans="1:3" x14ac:dyDescent="0.35">
      <c r="A84" s="1">
        <v>40000</v>
      </c>
      <c r="B84" s="1">
        <v>0</v>
      </c>
      <c r="C84" s="1">
        <v>0</v>
      </c>
    </row>
    <row r="85" spans="1:3" x14ac:dyDescent="0.35">
      <c r="A85" s="1">
        <v>40500</v>
      </c>
      <c r="B85" s="1">
        <v>0</v>
      </c>
      <c r="C85" s="1">
        <v>0</v>
      </c>
    </row>
    <row r="86" spans="1:3" x14ac:dyDescent="0.35">
      <c r="A86" s="1">
        <v>41000</v>
      </c>
      <c r="B86" s="1">
        <v>0</v>
      </c>
      <c r="C86" s="1">
        <v>0</v>
      </c>
    </row>
    <row r="87" spans="1:3" x14ac:dyDescent="0.35">
      <c r="A87" s="1">
        <v>41500</v>
      </c>
      <c r="B87" s="1">
        <v>0</v>
      </c>
      <c r="C87" s="1">
        <v>0</v>
      </c>
    </row>
    <row r="88" spans="1:3" x14ac:dyDescent="0.35">
      <c r="A88" s="1">
        <v>42000</v>
      </c>
      <c r="B88" s="1">
        <v>0</v>
      </c>
      <c r="C88" s="1">
        <v>0</v>
      </c>
    </row>
    <row r="89" spans="1:3" x14ac:dyDescent="0.35">
      <c r="A89" s="1">
        <v>42500</v>
      </c>
      <c r="B89" s="1">
        <v>0</v>
      </c>
      <c r="C89" s="1">
        <v>0</v>
      </c>
    </row>
    <row r="90" spans="1:3" x14ac:dyDescent="0.35">
      <c r="A90" s="1">
        <v>43000</v>
      </c>
      <c r="B90" s="1">
        <v>0</v>
      </c>
      <c r="C90" s="1">
        <v>0</v>
      </c>
    </row>
    <row r="91" spans="1:3" x14ac:dyDescent="0.35">
      <c r="A91" s="1">
        <v>43500</v>
      </c>
      <c r="B91" s="1">
        <v>0</v>
      </c>
      <c r="C91" s="1">
        <v>0</v>
      </c>
    </row>
    <row r="92" spans="1:3" x14ac:dyDescent="0.35">
      <c r="A92" s="1">
        <v>44000</v>
      </c>
      <c r="B92" s="1">
        <v>0</v>
      </c>
      <c r="C92" s="1">
        <v>0</v>
      </c>
    </row>
    <row r="93" spans="1:3" x14ac:dyDescent="0.35">
      <c r="A93" s="1">
        <v>44500</v>
      </c>
      <c r="B93" s="1">
        <v>0</v>
      </c>
      <c r="C93" s="1">
        <v>0</v>
      </c>
    </row>
    <row r="94" spans="1:3" x14ac:dyDescent="0.35">
      <c r="A94" s="1">
        <v>45000</v>
      </c>
      <c r="B94" s="1">
        <v>0</v>
      </c>
      <c r="C94" s="1">
        <v>0</v>
      </c>
    </row>
    <row r="95" spans="1:3" x14ac:dyDescent="0.35">
      <c r="A95" s="1">
        <v>45500</v>
      </c>
      <c r="B95" s="1">
        <v>0</v>
      </c>
      <c r="C95" s="1">
        <v>0</v>
      </c>
    </row>
    <row r="96" spans="1:3" x14ac:dyDescent="0.35">
      <c r="A96" s="1">
        <v>46000</v>
      </c>
      <c r="B96" s="1">
        <v>0</v>
      </c>
      <c r="C96" s="1">
        <v>0</v>
      </c>
    </row>
    <row r="97" spans="1:3" x14ac:dyDescent="0.35">
      <c r="A97" s="1">
        <v>46500</v>
      </c>
      <c r="B97" s="1">
        <v>0</v>
      </c>
      <c r="C97" s="1">
        <v>0</v>
      </c>
    </row>
    <row r="98" spans="1:3" x14ac:dyDescent="0.35">
      <c r="A98" s="1">
        <v>47000</v>
      </c>
      <c r="B98" s="1">
        <v>0</v>
      </c>
      <c r="C98" s="1">
        <v>0</v>
      </c>
    </row>
    <row r="99" spans="1:3" x14ac:dyDescent="0.35">
      <c r="A99" s="1">
        <v>47500</v>
      </c>
      <c r="B99" s="1">
        <v>0</v>
      </c>
      <c r="C99" s="1">
        <v>0</v>
      </c>
    </row>
    <row r="100" spans="1:3" x14ac:dyDescent="0.35">
      <c r="A100" s="1">
        <v>48000</v>
      </c>
      <c r="B100" s="1">
        <v>0</v>
      </c>
      <c r="C100" s="1">
        <v>0</v>
      </c>
    </row>
    <row r="101" spans="1:3" x14ac:dyDescent="0.35">
      <c r="A101" s="1">
        <v>48500</v>
      </c>
      <c r="B101" s="1">
        <v>0</v>
      </c>
      <c r="C101" s="1">
        <v>0</v>
      </c>
    </row>
    <row r="102" spans="1:3" x14ac:dyDescent="0.35">
      <c r="A102" s="1">
        <v>49000</v>
      </c>
      <c r="B102" s="1">
        <v>0</v>
      </c>
      <c r="C102" s="1">
        <v>0</v>
      </c>
    </row>
    <row r="103" spans="1:3" x14ac:dyDescent="0.35">
      <c r="A103" s="1">
        <v>49500</v>
      </c>
      <c r="B103" s="1">
        <v>0</v>
      </c>
      <c r="C103" s="1">
        <v>0</v>
      </c>
    </row>
    <row r="104" spans="1:3" x14ac:dyDescent="0.35">
      <c r="A104" s="1">
        <v>50000</v>
      </c>
      <c r="B104" s="1">
        <v>0</v>
      </c>
      <c r="C10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 Cairang</dc:creator>
  <cp:lastModifiedBy>Wande Cairang</cp:lastModifiedBy>
  <dcterms:created xsi:type="dcterms:W3CDTF">2015-06-05T18:17:20Z</dcterms:created>
  <dcterms:modified xsi:type="dcterms:W3CDTF">2026-03-09T23:51:49Z</dcterms:modified>
</cp:coreProperties>
</file>